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ttern Library" sheetId="1" state="visible" r:id="rId3"/>
    <sheet name="Coverage Matrix" sheetId="2" state="visible" r:id="rId4"/>
    <sheet name="Summary Rollup" sheetId="3" state="visible" r:id="rId5"/>
    <sheet name="Coverage by Device Group" sheetId="4" state="visible" r:id="rId6"/>
    <sheet name="Regex vs Boolean DLP" sheetId="5" state="visible" r:id="rId7"/>
    <sheet name="Regex Test Results" sheetId="6" state="visible" r:id="rId8"/>
    <sheet name="v3 Change Lo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<sst xmlns="http://schemas.openxmlformats.org/spreadsheetml/2006/main" count="536" uniqueCount="359">
  <si>
    <t xml:space="preserve">PA File/Data Filtering — Pattern Library</t>
  </si>
  <si>
    <t xml:space="preserve">CVS Health CCD Platform Information Security — Skyhigh-to-PA Migration | DLP Pattern Library  |  v3 (2026-09-28): regex amended &amp; tested; statuses verified against Panorama exports 2026-08-31; yellow cells changed in v3</t>
  </si>
  <si>
    <t xml:space="preserve">Pattern Name</t>
  </si>
  <si>
    <t xml:space="preserve">Category</t>
  </si>
  <si>
    <t xml:space="preserve">Description</t>
  </si>
  <si>
    <t xml:space="preserve">File Type</t>
  </si>
  <si>
    <t xml:space="preserve">Regex - No Separators</t>
  </si>
  <si>
    <t xml:space="preserve">Regex - With Separators</t>
  </si>
  <si>
    <t xml:space="preserve">Separator Format Note</t>
  </si>
  <si>
    <t xml:space="preserve">Profile Type Required</t>
  </si>
  <si>
    <t xml:space="preserve">Enforcement Readiness</t>
  </si>
  <si>
    <t xml:space="preserve">Notes / Confidence</t>
  </si>
  <si>
    <t xml:space="preserve">Comments</t>
  </si>
  <si>
    <t xml:space="preserve">v3 Step</t>
  </si>
  <si>
    <t xml:space="preserve">v3 Regex Change</t>
  </si>
  <si>
    <t xml:space="preserve">Config Verification (Panorama 2026-08-31)</t>
  </si>
  <si>
    <t xml:space="preserve">Step 2 — Boolean Enterprise DLP Equivalent</t>
  </si>
  <si>
    <t xml:space="preserve">SSN</t>
  </si>
  <si>
    <t xml:space="preserve">Government ID</t>
  </si>
  <si>
    <t xml:space="preserve">Standard 9-digit US Social Security Number.</t>
  </si>
  <si>
    <t xml:space="preserve">Any</t>
  </si>
  <si>
    <t xml:space="preserve">\b(00[1-9]|0[1-9][0-9]|[1-5][0-9]{2}|6[0-5][0-9]|66[0-57-9]|6[7-9][0-9]|[78][0-9]{2})(0[1-9]|[1-9][0-9])(000[1-9]|00[1-9][0-9]|0[1-9][0-9]{2}|[1-9][0-9]{3})\b</t>
  </si>
  <si>
    <t xml:space="preserve">\b(00[1-9]|0[1-9][0-9]|[1-5][0-9]{2}|6[0-5][0-9]|66[0-57-9]|6[7-9][0-9]|[78][0-9]{2})[- ](0[1-9]|[1-9][0-9])[- ](000[1-9]|00[1-9][0-9]|0[1-9][0-9]{2}|[1-9][0-9]{3})\b</t>
  </si>
  <si>
    <t xml:space="preserve">Standard XXX-XX-XXXX</t>
  </si>
  <si>
    <t xml:space="preserve">Classic Data Filtering</t>
  </si>
  <si>
    <t xml:space="preserve">In production as Alert — but via the Enterprise DLP predefined SSN pattern (high confidence) in "NAB - Initial Data Filtering", not a Classic Data Filtering object.</t>
  </si>
  <si>
    <t xml:space="preserve">Keep the Enterprise DLP SSN pattern as the primary detector. The Classic regex is the license-independent fallback. The no-separator form is still broad (any valid 9-digit number) — Alert only; do not Block on it.</t>
  </si>
  <si>
    <t xml:space="preserve">Step 1 fallback (Alert); Step 2 primary</t>
  </si>
  <si>
    <t xml:space="preserve">Replaced bare \b\d{9}\b with SSA validity rules: area excludes 000, 666, 900-999; group excludes 00; serial excludes 0000. Separator form now accepts dash or space.</t>
  </si>
  <si>
    <t xml:space="preserve">No Classic data pattern exists. Live detection is Enterprise DLP "National Id - US Social Security Number - SSN" (high confidence) in NAB, action Alert, attached to 19 profile groups (RI, AZ, LV, LV-EXT-DMZ).</t>
  </si>
  <si>
    <t xml:space="preserve">Predefined SSN (high confidence) already in production. HIPAA profile already combines SSN AND name/address/DOB/medical/phone.</t>
  </si>
  <si>
    <t xml:space="preserve">PCI (Card Data)</t>
  </si>
  <si>
    <t xml:space="preserve">Payment Data</t>
  </si>
  <si>
    <t xml:space="preserve">Primary Account Number (PAN) pattern for major card brands.</t>
  </si>
  <si>
    <t xml:space="preserve">\b(4[0-9]{12}([0-9]{3})?|5[1-5][0-9]{14}|2(22[1-9]|2[3-9][0-9]|[3-6][0-9]{2}|7[01][0-9]|720)[0-9]{12}|3[47][0-9]{13}|6011[0-9]{12}|64[4-9][0-9]{13}|65[0-9]{14}|35(2[89]|[3-8][0-9])[0-9]{12}|3(0[0-5]|[68][0-9])[0-9]{11})\b</t>
  </si>
  <si>
    <t xml:space="preserve">\b(4[0-9]{3}[- ][0-9]{4}[- ][0-9]{4}[- ][0-9]{4}|(5[1-5][0-9]{2}|2(22[1-9]|2[3-9][0-9]|[3-6][0-9]{2}|7[01][0-9]|720))[- ][0-9]{4}[- ][0-9]{4}[- ][0-9]{4}|3[47][0-9]{2}[- ][0-9]{6}[- ][0-9]{5}|(6011|64[4-9][0-9]|65[0-9]{2})[- ][0-9]{4}[- ][0-9]{4}[- ][0-9]{4}|35(2[89]|[3-8][0-9])[- ][0-9]{4}[- ][0-9]{4}[- ][0-9]{4}|3(0[0-5]|[68][0-9])[0-9][- ][0-9]{6}[- ][0-9]{4})\b</t>
  </si>
  <si>
    <t xml:space="preserve">Dash/space-delimited card groupings by brand</t>
  </si>
  <si>
    <t xml:space="preserve">Card detection already in production as Alert via Enterprise DLP (Credit Card Number, medium confidence; Magnetic Stripe) in NAB. No Classic PCI data pattern exists in Panorama.</t>
  </si>
  <si>
    <t xml:space="preserve">Classic regex has no Luhn check — random 13-19 digit numbers in valid brand ranges will match. Alert only in Step 1; Block belongs to Step 2 (Enterprise DLP validation + proximity keywords).</t>
  </si>
  <si>
    <r>
      <rPr>
        <sz val="10"/>
        <rFont val="Arial"/>
        <family val="2"/>
        <charset val="1"/>
      </rPr>
      <t xml:space="preserve">Recommended to include these Proximity Keyword to be in parity with zscaler:
American Express, Amex, Master Card, Visa, CVV Code, CVV Number, CVC Code, CVC Number, Select Card Type, Discover, Diners Club, JCB, Pay with checking account, Pay check money order, Credit Card Number, Card holder Name, Expiration Date, UnionPay, Yínlián, </t>
    </r>
    <r>
      <rPr>
        <sz val="10"/>
        <rFont val="Noto Sans CJK SC"/>
        <family val="2"/>
      </rPr>
      <t xml:space="preserve">银联</t>
    </r>
    <r>
      <rPr>
        <sz val="10"/>
        <rFont val="Arial"/>
        <family val="2"/>
        <charset val="1"/>
      </rPr>
      <t xml:space="preserve">, </t>
    </r>
    <r>
      <rPr>
        <sz val="10"/>
        <rFont val="Noto Sans CJK SC"/>
        <family val="2"/>
      </rPr>
      <t xml:space="preserve">中国银联</t>
    </r>
    <r>
      <rPr>
        <sz val="10"/>
        <rFont val="Arial"/>
        <family val="2"/>
        <charset val="1"/>
      </rPr>
      <t xml:space="preserve">, Zhōngguó Yínlián, debit card number, debit card, debit card no., maestro </t>
    </r>
  </si>
  <si>
    <t xml:space="preserve">Added Mastercard 2-series (2221-2720), Discover 644-649, JCB 3528-3589, Diners 300-305/36/38. Separator form now requires the correct brand grouping (Visa/MC/Discover/JCB 4-4-4-4, Amex 4-6-5, Diners 4-6-4); original accepted a 12-digit "Visa".</t>
  </si>
  <si>
    <t xml:space="preserve">No Classic data pattern. Live: Enterprise DLP "Credit Card Number" (medium) + "Voyager Credit Card" + "Magnetic Stripe Information" (high) in NAB, Alert.</t>
  </si>
  <si>
    <t xml:space="preserve">Predefined CCN (Luhn-validated per Palo Alto; verify during trial) + Compunnel proximity-keyword list (Amex, Visa, CVV, expiration date, UnionPay …). "Bulk CCN" profile also exists (not wired).</t>
  </si>
  <si>
    <t xml:space="preserve">Driver's License - US</t>
  </si>
  <si>
    <t xml:space="preserve">US state driver's license number formats (built from corrected reference set).</t>
  </si>
  <si>
    <t xml:space="preserve">(see dedicated DL pattern CSV — state-specific formats)</t>
  </si>
  <si>
    <t xml:space="preserve">Varies by state</t>
  </si>
  <si>
    <t xml:space="preserve">Regex set exists only in the separate CSV — not present in either Panorama. Enterprise DLP predefined "Driver License - US" exists in the PII data profile (not wired).</t>
  </si>
  <si>
    <t xml:space="preserve">Full corrected pattern set lives in separate PAN-OS-ready CSV; reference here for coverage matrix tracking only.</t>
  </si>
  <si>
    <t xml:space="preserve">May not be required.</t>
  </si>
  <si>
    <t xml:space="preserve">Deferred</t>
  </si>
  <si>
    <t xml:space="preserve">Not amended here — 51 state patterns live in the separate PAN-OS CSV; several are pure-numeric and high-FP without keyword context.</t>
  </si>
  <si>
    <t xml:space="preserve">No Classic object in Panorama. Enterprise DLP PII profile contains "Driver License - US" (Alert, not attached to any rule).</t>
  </si>
  <si>
    <t xml:space="preserve">Predefined "Driver License - US" with proximity keywords — the correct home for this pattern; Classic regex not recommended.</t>
  </si>
  <si>
    <t xml:space="preserve">Member ID</t>
  </si>
  <si>
    <t xml:space="preserve">Health Plan ID</t>
  </si>
  <si>
    <t xml:space="preserve">CVS/Aetna health plan member identifier, required for Skyhigh parity.</t>
  </si>
  <si>
    <t xml:space="preserve">(see existing Member ID data pattern object)</t>
  </si>
  <si>
    <t xml:space="preserve">Per existing Skyhigh pattern definition</t>
  </si>
  <si>
    <t xml:space="preserve">Not found in either Panorama export (no Classic data pattern object).</t>
  </si>
  <si>
    <t xml:space="preserve">Carried over from Skyhigh parity requirement; regex not redefined in this workstream.</t>
  </si>
  <si>
    <t xml:space="preserve">NA</t>
  </si>
  <si>
    <t xml:space="preserve">Step 1 (Detect)</t>
  </si>
  <si>
    <t xml:space="preserve">Not amended — regex carried from Skyhigh parity object; not visible in this workbook.</t>
  </si>
  <si>
    <t xml:space="preserve">Not present in Panorama 2026-08-31. Skyhigh itself detects/tags only; parity target is Detect, not Block.</t>
  </si>
  <si>
    <t xml:space="preserve">Custom Enterprise DLP pattern with member-ID keyword context.</t>
  </si>
  <si>
    <t xml:space="preserve">MBI (Medicare Beneficiary Identifier)</t>
  </si>
  <si>
    <t xml:space="preserve">CMS Identifier</t>
  </si>
  <si>
    <t xml:space="preserve">11-character CMS Medicare Beneficiary Identifier, post-2018 SSNRI format.</t>
  </si>
  <si>
    <t xml:space="preserve">\b[1-9][AC-HJKMNP-RT-Yac-hjkmnp-rt-y][0-9AC-HJKMNP-RT-Yac-hjkmnp-rt-y][0-9][AC-HJKMNP-RT-Yac-hjkmnp-rt-y][0-9AC-HJKMNP-RT-Yac-hjkmnp-rt-y][0-9][AC-HJKMNP-RT-Yac-hjkmnp-rt-y]{2}[0-9]{2}\b</t>
  </si>
  <si>
    <t xml:space="preserve">\b[1-9][AC-HJKMNP-RT-Yac-hjkmnp-rt-y][0-9AC-HJKMNP-RT-Yac-hjkmnp-rt-y][0-9][- ][AC-HJKMNP-RT-Yac-hjkmnp-rt-y][0-9AC-HJKMNP-RT-Yac-hjkmnp-rt-y][0-9][- ][AC-HJKMNP-RT-Yac-hjkmnp-rt-y]{2}[0-9]{2}\b</t>
  </si>
  <si>
    <t xml:space="preserve">4-3-4 hyphenated (e.g., 1EG4-TE5-MK73)</t>
  </si>
  <si>
    <t xml:space="preserve">New — Ready for Block after lab validation of the corrected regex.</t>
  </si>
  <si>
    <t xml:space="preserve">High precision standalone: fixed CMS alphabet (no B/I/L/O/S/Z) and strict 11-position structure. v2 regex did not match valid MBIs — see v3 Regex Change.</t>
  </si>
  <si>
    <t xml:space="preserve">Recommended to include these Proximity Keyword to be in parity with zscaler:
"mbi"
"mbi#"
"medicare beneficiary #"
"medicare beneficiary identifier"
"medicare beneficiary no"
"medicare beneficiary number"
"medicare beneficiary#"
</t>
  </si>
  <si>
    <t xml:space="preserve">Step 1 (Block)</t>
  </si>
  <si>
    <t xml:space="preserve">DEFECT FIXED: v2 put digits at positions 7-8 and letters at 9-10, so it failed CMS's own example 1EG4-TE5-MK73. Corrected to CMS format N A AN N A AN N A A N N. Added lowercase; separator accepts dash or space.</t>
  </si>
  <si>
    <t xml:space="preserve">Not present in Panorama (new pattern). No MBI pattern in any Enterprise DLP profile either.</t>
  </si>
  <si>
    <t xml:space="preserve">Custom Enterprise DLP pattern + Compunnel keywords ("mbi", "medicare beneficiary identifier" …) for Block with keyword gating.</t>
  </si>
  <si>
    <t xml:space="preserve">SSN - Masked/Partially Redacted</t>
  </si>
  <si>
    <t xml:space="preserve">Government ID (Partial)</t>
  </si>
  <si>
    <t xml:space="preserve">SSN with first 5 digits masked, last 4 exposed (e.g., XXX-XX-1234).</t>
  </si>
  <si>
    <t xml:space="preserve">(^|[^A-Za-z0-9*#])[Xx*#]{5}[0-9]{4}\b</t>
  </si>
  <si>
    <t xml:space="preserve">(^|[^A-Za-z0-9*#])[Xx*#]{3}[- ][Xx*#]{2}[- ][0-9]{4}\b</t>
  </si>
  <si>
    <t xml:space="preserve">Mask chars (X/*/#) in place of first 5 digits, dash/space optional</t>
  </si>
  <si>
    <t xml:space="preserve">New — Ready for Alert; promote to Block after burn-in</t>
  </si>
  <si>
    <t xml:space="preserve">Masked forms are distinctive enough standalone. Do NOT add a bare last-4-digit variant with no mask characters — indistinguishable from zip+4/phone tails in this profile type.</t>
  </si>
  <si>
    <t xml:space="preserve">Recommended to include these Proximity Keyword to be in parity with zscaler.
" ssn "
"SSNS"
"Soc Sec"
"Social Security"
social security number</t>
  </si>
  <si>
    <t xml:space="preserve">Step 1 (Alert → Block)</t>
  </si>
  <si>
    <t xml:space="preserve">Replaced leading \b (does not fire before * or #) with a non-alphanumeric guard so ***** / ### masks match; \s replaced with [- ] so matches cannot span line breaks.</t>
  </si>
  <si>
    <t xml:space="preserve">Not present in Panorama (new pattern).</t>
  </si>
  <si>
    <t xml:space="preserve">Custom pattern + keywords ("ssn", "soc sec", "social security" …).</t>
  </si>
  <si>
    <t xml:space="preserve">HICN (Legacy)</t>
  </si>
  <si>
    <t xml:space="preserve">Pre-2019 CMS Medicare identifier: 9-digit SSN base + Beneficiary Identification Code (BIC) suffix.</t>
  </si>
  <si>
    <t xml:space="preserve">\b(00[1-9]|0[1-9][0-9]|[1-5][0-9]{2}|6[0-5][0-9]|66[0-57-9]|6[7-9][0-9]|[78][0-9]{2})(0[1-9]|[1-9][0-9])(000[1-9]|00[1-9][0-9]|0[1-9][0-9]{2}|[1-9][0-9]{3})(A|B[1-9]?|B[A-Z]|C[1-9]|C[A-Z]|D[1-9]?|E[1-9]?|F[1-8]|H[ABC]|J[1-4]|K[1-9]|M1?|T[A-Z]?|W[1-9]?|W[A-D])\b</t>
  </si>
  <si>
    <t xml:space="preserve">\b(00[1-9]|0[1-9][0-9]|[1-5][0-9]{2}|6[0-5][0-9]|66[0-57-9]|6[7-9][0-9]|[78][0-9]{2})[- ]?(0[1-9]|[1-9][0-9])[- ]?(000[1-9]|00[1-9][0-9]|0[1-9][0-9]{2}|[1-9][0-9]{3})[- ]?(A|B[1-9]?|B[A-Z]|C[1-9]|C[A-Z]|D[1-9]?|E[1-9]?|F[1-8]|H[ABC]|J[1-4]|K[1-9]|M1?|T[A-Z]?|W[1-9]?|W[A-D])\b</t>
  </si>
  <si>
    <t xml:space="preserve">SSN-style (XXX-XX-XXXX) with trailing BIC suffix</t>
  </si>
  <si>
    <t xml:space="preserve">New — Alert-only until validated against a labeled sample</t>
  </si>
  <si>
    <t xml:space="preserve">Regex tightened to CMS's documented finite BIC suffix set (not any 1-2 letters) to reduce SSN collision. Classic Data Filtering has no keyword gate, so this tightening is the only available precision lever. Not zero-collision — do not Block until validated.</t>
  </si>
  <si>
    <t xml:space="preserve">Recommended to include these Proximity Keyword to be in parity with zscaler.
"Medicare HIC"
"Medicare HICN"
" HIC "
"HICN "
"Health Insurance Claim Number"
"HIC Number"
"Medicare Health Insurance Claim Number"
"Medicare HIC Number"
"hic#"
"hicn#"
"hicno#"</t>
  </si>
  <si>
    <t xml:space="preserve">Step 1 (Alert)</t>
  </si>
  <si>
    <t xml:space="preserve">SSN base now uses SSA validity rules (area/group/serial). BIC suffix set extended with K1-K9, D1-D9, E1-E9, W1-W9, T/TA-TZ, C/B letter series. VERIFY the full suffix list against the current CMS BIC table before promotion.</t>
  </si>
  <si>
    <t xml:space="preserve">Custom pattern + Compunnel keywords ("Medicare HICN", "HIC Number" …) — keyword gating is the only way to separate HICN from SSN-plus-letter collisions.</t>
  </si>
  <si>
    <t xml:space="preserve"> Azure Access Key Credential</t>
  </si>
  <si>
    <t xml:space="preserve">Data Pattern need to be created</t>
  </si>
  <si>
    <t xml:space="preserve">AccountKey=[A-Za-z0-9+/]{86}==   |   \b[A-Za-z0-9_~.]{3}[0-9]Q~[A-Za-z0-9_~.-]{31,34}\b</t>
  </si>
  <si>
    <t xml:space="preserve">[?&amp;]sig=[A-Za-z0-9%+/]{40,}(%3[Dd]|=){0,2}</t>
  </si>
  <si>
    <t xml:space="preserve">New — Alert; promote to Block after burn-in (credential leaks warrant Block).</t>
  </si>
  <si>
    <t xml:space="preserve">Three detectors: storage account key in connection strings (AccountKey= + 88-char base64), Entra ID client secret (xxxNQ~ format), SAS token signature (sig=). Key-anchored forms are high precision.</t>
  </si>
  <si>
    <t xml:space="preserve">This is present in Zscaler in this disctionary - _PRD_Creds_Azure Access Key (Regex can be taken from here)</t>
  </si>
  <si>
    <t xml:space="preserve">New in v3 — regex written for Classic (no lookaround). Compunnel suggested reusing the Zscaler "_PRD_Creds_Azure Access Key" regex; compare against it before go-live.</t>
  </si>
  <si>
    <t xml:space="preserve">No Azure-specific pattern in any Enterprise DLP profile. "Secrets and Credentials" profile (Application credentials, Cloud DB credentials, API access token, Private key) exists but is not wired.</t>
  </si>
  <si>
    <t xml:space="preserve">Wire the existing "Secrets and Credentials" profile; add Azure-specific custom pattern if it does not cover Azure keys.</t>
  </si>
  <si>
    <t xml:space="preserve">Passwords</t>
  </si>
  <si>
    <t xml:space="preserve">(password|Password|PASSWORD|passwd|Passwd|pwd|PWD|psswd|passphrase|Passphrase|passwort|Passwort|kennwort|Kennwort|contrase.a|Contrase.a|senha|Senha)[ \t]*[:=][ \t]*[^ \t\r\n]{8,64}</t>
  </si>
  <si>
    <t xml:space="preserve">(same — assignment form only)</t>
  </si>
  <si>
    <t xml:space="preserve">New — Alert only.</t>
  </si>
  <si>
    <t xml:space="preserve">The Purview regex requires lookaheads (not expected to be supported by PAN-OS Classic regex — verify) and matches any complex 8-20 character token. v3 detects the leak pattern that matters: a password keyword followed by : or = and a value.</t>
  </si>
  <si>
    <r>
      <rPr>
        <sz val="10"/>
        <rFont val="Arial"/>
        <family val="0"/>
        <charset val="1"/>
      </rPr>
      <t xml:space="preserve">This below regex is being used in this policy  CVS Health Password Policy in Microsoft Purview-
 (?=[^ \n]*[A-Z]+)(?=[^ \n]*[a-z]+)(?=[^ \n]*[^A-Za-z0-9 \n]+)(?=[^ \n]*[0-9]+)\b[^ \n]{8,20}\n
Proximity Keyword - password
credentials
pwd
psswd
passw
kennwort
passwort
schlüssel
secret
passphrase
Contraseña
Contrasena
passe
code d'accès
clave
</t>
    </r>
    <r>
      <rPr>
        <sz val="10"/>
        <rFont val="Noto Sans CJK SC"/>
        <family val="2"/>
      </rPr>
      <t xml:space="preserve">密码
</t>
    </r>
    <r>
      <rPr>
        <sz val="10"/>
        <rFont val="Arial"/>
        <family val="0"/>
        <charset val="1"/>
      </rPr>
      <t xml:space="preserve">[</t>
    </r>
    <r>
      <rPr>
        <sz val="10"/>
        <rFont val="Noto Sans CJK SC"/>
        <family val="2"/>
      </rPr>
      <t xml:space="preserve">密碼</t>
    </r>
    <r>
      <rPr>
        <sz val="10"/>
        <rFont val="Arial"/>
        <family val="0"/>
        <charset val="1"/>
      </rPr>
      <t xml:space="preserve">]
mìmǎ
про́пуск
шифр
код
haslo
código
senha
palavra-passe</t>
    </r>
  </si>
  <si>
    <t xml:space="preserve">New in v3 — keyword-anchored assignment regex instead of the Purview complexity lookahead. Case variants listed explicitly (no inline case-insensitive flag).</t>
  </si>
  <si>
    <t xml:space="preserve">No password pattern in any Enterprise DLP profile referenced in Panorama.</t>
  </si>
  <si>
    <t xml:space="preserve">Boolean profile: credential keyword proximity AND complexity pattern — this is the Purview logic, which needs Step 2.</t>
  </si>
  <si>
    <t xml:space="preserve">Missing Item for File Blocking Profile  : File_Blocking_Best_Practice_SP</t>
  </si>
  <si>
    <t xml:space="preserve">OST Files</t>
  </si>
  <si>
    <t xml:space="preserve">This should be included in the file blocking profile.</t>
  </si>
  <si>
    <t xml:space="preserve">Step 1 (File Blocking)</t>
  </si>
  <si>
    <t xml:space="preserve">Add to File_Blocking_Best_Practice_SP "Block high risk file types". PST is already blocked. Confirm the exact PAN-OS file-type ID on a firewall (not listed in the config export).</t>
  </si>
  <si>
    <t xml:space="preserve">Database File types</t>
  </si>
  <si>
    <t xml:space="preserve">Define which types (e.g. mdb/accdb/sqlite/dbf) and confirm each PAN-OS file-type ID on a firewall before adding.</t>
  </si>
  <si>
    <t xml:space="preserve">Keychain</t>
  </si>
  <si>
    <t xml:space="preserve">DG_LV_Egress already contains an unreferenced file-blocking profile "temporary" whose single rule "keychain" blocks ALL file types (file-type any). Delete or correct it, then add the real keychain file-type ID to the best-practice profile.</t>
  </si>
  <si>
    <t xml:space="preserve">PA File/Data Filtering — Enforcement Coverage Matrix</t>
  </si>
  <si>
    <t xml:space="preserve">Pattern x Device Group/Scope | Status: Block / Alert / TBD / N/A  |  v3: statuses verified against Panorama 2026-08-31; see "Coverage by Device Group" for per-DG decrypt reality</t>
  </si>
  <si>
    <t xml:space="preserve">Device Group / Scope</t>
  </si>
  <si>
    <t xml:space="preserve">Status</t>
  </si>
  <si>
    <t xml:space="preserve">Basis for Status / Notes</t>
  </si>
  <si>
    <t xml:space="preserve">CVS Panorama (Centrally Managed)</t>
  </si>
  <si>
    <t xml:space="preserve">Alert</t>
  </si>
  <si>
    <t xml:space="preserve">Enterprise DLP predefined SSN in NAB profile, Alert, 19 profile groups. Effective only on cleartext/decrypted paths (LV Meritain, LV-COLO HTTP) — see Coverage by Device Group.</t>
  </si>
  <si>
    <t xml:space="preserve">Aetna Panorama Device Groups (Decentralized)</t>
  </si>
  <si>
    <t xml:space="preserve">N/A</t>
  </si>
  <si>
    <t xml:space="preserve">No DLP profile of any kind on the Aetna Panorama. (Correction: Aetna decryption IS enabled for categories and a 636-site list; the gap is that decrypted traffic carries no URL/file/DLP profiles.)</t>
  </si>
  <si>
    <t xml:space="preserve">Retail SD-WAN (approx. 10,950 sites)</t>
  </si>
  <si>
    <t xml:space="preserve">No Threat Prevention/Data Filtering platform in path.</t>
  </si>
  <si>
    <t xml:space="preserve">Credit Card Number + Magnetic Stripe already in the Enterprise DLP NAB profile, Alert. No Classic PCI object exists.</t>
  </si>
  <si>
    <t xml:space="preserve">No platform in path.</t>
  </si>
  <si>
    <t xml:space="preserve">TBD</t>
  </si>
  <si>
    <t xml:space="preserve">Regex set only in CSV (not in Panorama). Enterprise DLP "Driver License - US" exists in the PII profile, not wired.</t>
  </si>
  <si>
    <t xml:space="preserve">Not present in Panorama 2026-08-31.</t>
  </si>
  <si>
    <t xml:space="preserve">New pattern. v2 regex was defective (did not match valid MBIs) — corrected in v3; Block after lab validation.</t>
  </si>
  <si>
    <t xml:space="preserve">New pattern, ready for Alert; promote to Block after burn-in validation.</t>
  </si>
  <si>
    <t xml:space="preserve">New pattern, tightened to known BIC suffix set — Alert-only until validated against a labeled sample; not Block-ready.</t>
  </si>
  <si>
    <t xml:space="preserve">Azure Access Key Credential</t>
  </si>
  <si>
    <t xml:space="preserve">New in v3 — Classic regex written and tested; not yet built in Panorama.</t>
  </si>
  <si>
    <t xml:space="preserve">PA File/Data Filtering — Summary Rollup</t>
  </si>
  <si>
    <t xml:space="preserve">Live COUNTIFS rollups against Coverage Matrix — updates automatically if matrix changes</t>
  </si>
  <si>
    <t xml:space="preserve">By Pattern</t>
  </si>
  <si>
    <t xml:space="preserve">Block</t>
  </si>
  <si>
    <t xml:space="preserve">Total</t>
  </si>
  <si>
    <t xml:space="preserve">By Device Group / Scope</t>
  </si>
  <si>
    <t xml:space="preserve">Grand Total</t>
  </si>
  <si>
    <t xml:space="preserve">PA File/Data Filtering — Coverage by Device Group (Decrypt Reality)</t>
  </si>
  <si>
    <t xml:space="preserve">What each step can actually see, per firewall scope. Source: Panorama exports 2026-08-31 (PAZSHDC/RRISHDC and MID/WIN, HA peers identical).</t>
  </si>
  <si>
    <t xml:space="preserve">Scope</t>
  </si>
  <si>
    <t xml:space="preserve">Device Group / Firewalls</t>
  </si>
  <si>
    <t xml:space="preserve">HTTPS Decryption (verified)</t>
  </si>
  <si>
    <t xml:space="preserve">Current DLP (NAB, Enterprise DLP)</t>
  </si>
  <si>
    <t xml:space="preserve">Current File Blocking</t>
  </si>
  <si>
    <t xml:space="preserve">Step 1 — Regex File/Data Filtering can see</t>
  </si>
  <si>
    <t xml:space="preserve">Step 2 — Boolean Enterprise DLP can see</t>
  </si>
  <si>
    <t xml:space="preserve">Prerequisite to close the gap</t>
  </si>
  <si>
    <t xml:space="preserve">CVS — Rhode Island egress</t>
  </si>
  <si>
    <t xml:space="preserve">DG_RI_Egress (2 FW)</t>
  </si>
  <si>
    <t xml:space="preserve">Only the 41 "denied" categories are decrypted — and 40 of them are blocked by URL filtering. Permitted traffic is not decrypted. Large exemptions: Box, OneDrive, Syncplicity, LeapFile, Cloudflare Storage, iCloud, Outlook.</t>
  </si>
  <si>
    <t xml:space="preserve">Attached (general population + per-AD-group allow rules), Alert</t>
  </si>
  <si>
    <t xml:space="preserve">Best-practice profile attached</t>
  </si>
  <si>
    <t xml:space="preserve">HTTP only (cleartext)</t>
  </si>
  <si>
    <t xml:space="preserve">Decrypt permitted traffic; review file-sharing exemptions; add a decryption profile to the decrypt rule.</t>
  </si>
  <si>
    <t xml:space="preserve">CVS — Arizona (Shea) egress</t>
  </si>
  <si>
    <t xml:space="preserve">DG_AZ_Egress (2 FW)</t>
  </si>
  <si>
    <t xml:space="preserve">Same as RI.</t>
  </si>
  <si>
    <t xml:space="preserve">Attached, Alert</t>
  </si>
  <si>
    <t xml:space="preserve">CVS — Las Vegas: Meritain users</t>
  </si>
  <si>
    <t xml:space="preserve">DG_LV_Egress, Meritain-Users-Subnets 10.47.128.0/21</t>
  </si>
  <si>
    <t xml:space="preserve">Decrypt-all enabled (after 19 exception rules) + SSH proxy. Exemptions include the M365 URL feed and *.amazonaws.com / *.appspot.com (Pinned Certs).</t>
  </si>
  <si>
    <t xml:space="preserve">Attached (Meritain WG groups), Alert — effective</t>
  </si>
  <si>
    <t xml:space="preserve">Best-practice profile; one exception rule uses No-PDF-Enc variant</t>
  </si>
  <si>
    <t xml:space="preserve">HTTP + decrypted HTTPS</t>
  </si>
  <si>
    <t xml:space="preserve">None for visibility — this is the pilot scope for Step 1 Block (MBI) and TRv2.</t>
  </si>
  <si>
    <t xml:space="preserve">CVS — Las Vegas: PPOM / NAB</t>
  </si>
  <si>
    <t xml:space="preserve">DG_LV_Egress, ppom-subnets (10.47.196-251.x)</t>
  </si>
  <si>
    <t xml:space="preserve">Not decrypted — outside the Meritain decrypt scope.</t>
  </si>
  <si>
    <t xml:space="preserve">Attached (SPG-PPOM-All), Alert — blind on HTTPS</t>
  </si>
  <si>
    <t xml:space="preserve">HTTP only</t>
  </si>
  <si>
    <t xml:space="preserve">Extend LV decryption to ppom-subnets.</t>
  </si>
  <si>
    <t xml:space="preserve">CVS — Las Vegas: LV-COLO / Atlanta-Austin</t>
  </si>
  <si>
    <t xml:space="preserve">DG_LV_Egress, LV-COLO-SUBNETS / Atlanta-Austin-Subnets</t>
  </si>
  <si>
    <t xml:space="preserve">Not decrypted; internet rules permit service-http only (YouTube exception by App-ID).</t>
  </si>
  <si>
    <t xml:space="preserve">Attached (SPG-LV-Colo-*), Alert — effective on HTTP</t>
  </si>
  <si>
    <t xml:space="preserve">HTTP (all permitted web traffic)</t>
  </si>
  <si>
    <t xml:space="preserve">Confirm HTTP-only is intended; decrypt the YouTube exception if content inspection is required.</t>
  </si>
  <si>
    <t xml:space="preserve">CVS — Las Vegas external DMZ</t>
  </si>
  <si>
    <t xml:space="preserve">DG_LV_EXT_DMZ</t>
  </si>
  <si>
    <t xml:space="preserve">No decryption rulebase.</t>
  </si>
  <si>
    <t xml:space="preserve">Attached (SPG-LV-Colo-All on DMZ-HTTPS and service rules), Alert — blind on HTTPS</t>
  </si>
  <si>
    <t xml:space="preserve">Cleartext protocols only</t>
  </si>
  <si>
    <t xml:space="preserve">Decide whether server-side DMZ traffic is in DLP scope at all (server egress policy, not user).</t>
  </si>
  <si>
    <t xml:space="preserve">Aetna — Middletown/Windsor GLR + Azure East hub</t>
  </si>
  <si>
    <t xml:space="preserve">MID-WIN-GLR (4 FW), cme-devicegroup (8 FW)</t>
  </si>
  <si>
    <t xml:space="preserve">Enabled: Claude, 636-site forced-decrypt list, 9 "allowed" categories + YouTube, 39 "denied" categories. MS-login decrypt disabled. Exemptions: brand domains, M365 feed, Pinned Certs (*.amazonaws.com).</t>
  </si>
  <si>
    <t xml:space="preserve">None — no DLP profile exists on the Aetna Panorama</t>
  </si>
  <si>
    <t xml:space="preserve">None on ~97% of internet allow rules</t>
  </si>
  <si>
    <t xml:space="preserve">Nothing until a profile is attached</t>
  </si>
  <si>
    <t xml:space="preserve">Attach URL filtering, file blocking and DLP to the traffic Aetna already decrypts.</t>
  </si>
  <si>
    <t xml:space="preserve">— (not in either Panorama export)</t>
  </si>
  <si>
    <t xml:space="preserve">Not verified in this review.</t>
  </si>
  <si>
    <t xml:space="preserve">N/A per v2</t>
  </si>
  <si>
    <t xml:space="preserve">Platform dependency (per v2).</t>
  </si>
  <si>
    <t xml:space="preserve">Step 1 Regex File/Data Filtering vs Step 2 Boolean Enterprise DLP</t>
  </si>
  <si>
    <t xml:space="preserve">Step 1 is the stop-gap provided until permanent Palo Alto Enterprise (Advanced) DLP licensing is in place. Enterprise DLP currently runs on a temporary license (license status per Network Security Engineering).</t>
  </si>
  <si>
    <t xml:space="preserve">Dimension</t>
  </si>
  <si>
    <t xml:space="preserve">Step 1 — Regex-based File/Data Filtering (stop-gap)</t>
  </si>
  <si>
    <t xml:space="preserve">Step 2 — Boolean Enterprise DLP (target)</t>
  </si>
  <si>
    <t xml:space="preserve">CVS evidence / implication</t>
  </si>
  <si>
    <t xml:space="preserve">Role</t>
  </si>
  <si>
    <t xml:space="preserve">Stop-gap baseline that does not depend on the Enterprise DLP license. Built from high-precision standalone patterns.</t>
  </si>
  <si>
    <t xml:space="preserve">Target state for the advanced DLP use cases (context, combinations, tuning).</t>
  </si>
  <si>
    <t xml:space="preserve">Enterprise DLP is already in production (NAB profile) on a temporary license, so Step 1 is also the fallback if that license lapses.</t>
  </si>
  <si>
    <t xml:space="preserve">Licensing</t>
  </si>
  <si>
    <t xml:space="preserve">No separate DLP license — Classic Data Filtering is part of PAN-OS Content-ID (confirm with Palo Alto for this estate).</t>
  </si>
  <si>
    <t xml:space="preserve">Requires the Enterprise DLP subscription.</t>
  </si>
  <si>
    <t xml:space="preserve">Temporary license today; convert to permanent before expiry — the production NAB profile depends on it.</t>
  </si>
  <si>
    <t xml:space="preserve">Where it is defined</t>
  </si>
  <si>
    <t xml:space="preserve">Panorama objects: Custom Data Patterns + Data Filtering profile, per device group or shared.</t>
  </si>
  <si>
    <t xml:space="preserve">Enterprise DLP cloud service; data profiles sync into Panorama (plugins &gt; dlp), versioned.</t>
  </si>
  <si>
    <t xml:space="preserve">0 Classic objects exist on either Panorama; 27 Enterprise DLP profiles exist on the CVS Panorama.</t>
  </si>
  <si>
    <t xml:space="preserve">Detection logic</t>
  </si>
  <si>
    <t xml:space="preserve">One regex per pattern. Per-pattern alert and block thresholds (match counts / weights). Each pattern evaluated on its own.</t>
  </si>
  <si>
    <t xml:space="preserve">Boolean expressions across patterns: AND / OR with occurrence counts and confidence levels (NOT/exclusion support — verify with Palo Alto).</t>
  </si>
  <si>
    <t xml:space="preserve">Example already configured: HIPAA = SSN AND (name OR address OR DOB OR medical condition OR phone). NAB is a "basic" (non-Boolean) profile.</t>
  </si>
  <si>
    <t xml:space="preserve">Context (proximity keywords)</t>
  </si>
  <si>
    <t xml:space="preserve">None. Precision comes only from tightening the regex itself.</t>
  </si>
  <si>
    <t xml:space="preserve">Proximity keywords and confidence tiers per pattern.</t>
  </si>
  <si>
    <t xml:space="preserve">Every Compunnel keyword list (PCI, MBI, masked SSN, HICN, Passwords) is Step 2 only — it cannot be implemented in Step 1.</t>
  </si>
  <si>
    <t xml:space="preserve">Validation</t>
  </si>
  <si>
    <t xml:space="preserve">Format only — no checksum (no Luhn for cards, no SSA issuance lookup). v3 regex encodes SSA area/group/serial rules structurally.</t>
  </si>
  <si>
    <t xml:space="preserve">Vendor-maintained predefined patterns with validation and confidence tiers (e.g. CCN medium/high).</t>
  </si>
  <si>
    <t xml:space="preserve">Expect higher false-positive rates in Step 1 for PCI and SSN — keep them at Alert; Block only structurally unique patterns (MBI).</t>
  </si>
  <si>
    <t xml:space="preserve">Regex engine limits</t>
  </si>
  <si>
    <t xml:space="preserve">Restricted syntax: design assumes no lookahead/lookbehind, no backreferences, no inline flags. All v3 patterns written to that constraint — validate each on a firewall before commit.</t>
  </si>
  <si>
    <t xml:space="preserve">Richer pattern definitions and keyword handling in the DLP service.</t>
  </si>
  <si>
    <t xml:space="preserve">Purview password regex (lookaheads) cannot be ported to Step 1 — replaced with a keyword-anchored assignment pattern.</t>
  </si>
  <si>
    <t xml:space="preserve">False-positive control</t>
  </si>
  <si>
    <t xml:space="preserve">Regex tightening only (e.g. HICN restricted to CMS BIC suffixes; SSN validity ranges).</t>
  </si>
  <si>
    <t xml:space="preserve">Combine patterns, require keywords, set occurrence thresholds, exclude applications (DLP App Exclusion Filter already applied to NAB).</t>
  </si>
  <si>
    <t xml:space="preserve">Tuning requests from the DLP team (A AND B NOT C) are Step 2 capabilities.</t>
  </si>
  <si>
    <t xml:space="preserve">Logging / attribution</t>
  </si>
  <si>
    <t xml:space="preserve">Data Filtering log names the profile and pattern that matched — attribution is by pattern object.</t>
  </si>
  <si>
    <t xml:space="preserve">DLP incident detail (matched patterns, snippets) in the Enterprise DLP console — confirm availability during the trial.</t>
  </si>
  <si>
    <t xml:space="preserve">Today one NAB profile holds 22 data types across 19 profile groups, so logs cannot say which data type fired. Per-data-type profiles/rules fix this in either step.</t>
  </si>
  <si>
    <t xml:space="preserve">Policy attachment</t>
  </si>
  <si>
    <t xml:space="preserve">One Data Filtering profile per security profile group / rule.</t>
  </si>
  <si>
    <t xml:space="preserve">Same — one data-filtering profile per profile group / rule.</t>
  </si>
  <si>
    <t xml:space="preserve">Step 1 profiles cannot sit alongside NAB on the same rule: replace NAB in selected groups, or build dedicated per-data-type rules (the rule-stack rewrite).</t>
  </si>
  <si>
    <t xml:space="preserve">Actions</t>
  </si>
  <si>
    <t xml:space="preserve">Alert or Block per pattern threshold.</t>
  </si>
  <si>
    <t xml:space="preserve">Alert or Block per data profile rule.</t>
  </si>
  <si>
    <t xml:space="preserve">Only "PII Basic Block All Data" is set to Block today, and it is not attached to any rule.</t>
  </si>
  <si>
    <t xml:space="preserve">Decryption dependency</t>
  </si>
  <si>
    <t xml:space="preserve">Identical — sees only cleartext or decrypted sessions.</t>
  </si>
  <si>
    <t xml:space="preserve">Neither step helps RI/AZ until permitted traffic is decrypted (see Coverage by Device Group).</t>
  </si>
  <si>
    <t xml:space="preserve">Patterns best suited</t>
  </si>
  <si>
    <t xml:space="preserve">MBI (Block), masked SSN, HICN (Alert), Azure key/secret formats, password assignments, validated-range SSN and brand-range PCI (Alert fallback).</t>
  </si>
  <si>
    <t xml:space="preserve">SSN/PCI with validation, Driver's License, Member ID, Passwords (complexity + keywords), HIPAA-style combinations.</t>
  </si>
  <si>
    <t xml:space="preserve">Retire each Step 1 pattern once its Step 2 equivalent is proven, or keep it deliberately as license-lapse fallback — decide per pattern.</t>
  </si>
  <si>
    <t xml:space="preserve">v3 Regex Test Results</t>
  </si>
  <si>
    <t xml:space="preserve">Python re tests run 2026-09-28 against positive and negative samples. Syntax kept to the Classic-safe subset; each pattern must still be committed and tested on a firewall.</t>
  </si>
  <si>
    <t xml:space="preserve">Pattern / Form</t>
  </si>
  <si>
    <t xml:space="preserve">Must match (samples)</t>
  </si>
  <si>
    <t xml:space="preserve">Must NOT match (samples)</t>
  </si>
  <si>
    <t xml:space="preserve">Result</t>
  </si>
  <si>
    <t xml:space="preserve">Defect found in v2 regex</t>
  </si>
  <si>
    <t xml:space="preserve">SSN (no separators)</t>
  </si>
  <si>
    <t xml:space="preserve">123456789; 078051120</t>
  </si>
  <si>
    <t xml:space="preserve">000123456; 666123456; 912345678; 123004567; 123450000; 1234567890</t>
  </si>
  <si>
    <t xml:space="preserve">PASS</t>
  </si>
  <si>
    <t xml:space="preserve">v2 matched invalid SSNs (000, 666, 9xx areas; 00 group; 0000 serial).</t>
  </si>
  <si>
    <t xml:space="preserve">SSN (with separators)</t>
  </si>
  <si>
    <t xml:space="preserve">123-45-6789; 123 45 6789</t>
  </si>
  <si>
    <t xml:space="preserve">000-12-3456; 666-12-3456; 912-34-5678; 123-00-4567; 123-45-0000</t>
  </si>
  <si>
    <t xml:space="preserve">v2 dash-only; same validity gaps.</t>
  </si>
  <si>
    <t xml:space="preserve">PCI (no separators)</t>
  </si>
  <si>
    <t xml:space="preserve">Visa 16/13; MC 5-series and 2-series; Amex; Discover 6011/644-649; JCB; Diners</t>
  </si>
  <si>
    <t xml:space="preserve">15-digit Visa; 1234567890123456; 7011…</t>
  </si>
  <si>
    <t xml:space="preserve">v2 missed Mastercard 2-series (2221-2720), Discover 644-649, JCB, Diners.</t>
  </si>
  <si>
    <t xml:space="preserve">PCI (with separators)</t>
  </si>
  <si>
    <t xml:space="preserve">4111 1111 1111 1111; 5555-5555-5555-4444; 3782-822463-10005; 6011-…; JCB; Diners 4-6-4</t>
  </si>
  <si>
    <t xml:space="preserve">4111 1111 1111 111; 1234-5678-9012-3456</t>
  </si>
  <si>
    <t xml:space="preserve">v2 accepted a 12-digit "Visa" (4111 1111 1111) and allowed separators anywhere.</t>
  </si>
  <si>
    <t xml:space="preserve">MBI (no separators)</t>
  </si>
  <si>
    <t xml:space="preserve">1EG4TE5MK73; 1eg4te5mk73</t>
  </si>
  <si>
    <t xml:space="preserve">1EG4TE5MK7; 0EG4…; 1BG4… (excluded letter); 1EG4TE57K73; 1EG4TE5M1K3</t>
  </si>
  <si>
    <t xml:space="preserve">v2 did NOT match the CMS example 1EG4TE5MK73 — positions 7-11 were wrong.</t>
  </si>
  <si>
    <t xml:space="preserve">MBI (with separators)</t>
  </si>
  <si>
    <t xml:space="preserve">1EG4-TE5-MK73; 1EG4 TE5 MK73</t>
  </si>
  <si>
    <t xml:space="preserve">1EG4-TE5-M73; 1EG4TE5MK73</t>
  </si>
  <si>
    <t xml:space="preserve">v2 did NOT match the CMS example 1EG4-TE5-MK73.</t>
  </si>
  <si>
    <t xml:space="preserve">SSN masked (no separators)</t>
  </si>
  <si>
    <t xml:space="preserve">XXXXX1234; *****6789</t>
  </si>
  <si>
    <t xml:space="preserve">XXXX1234; 12345</t>
  </si>
  <si>
    <t xml:space="preserve">v2 \b prevented *****/##### masks from matching.</t>
  </si>
  <si>
    <t xml:space="preserve">SSN masked (with separators)</t>
  </si>
  <si>
    <t xml:space="preserve">XXX-XX-1234; ***-**-1234; xxx xx 6789</t>
  </si>
  <si>
    <t xml:space="preserve">XX-XX-1234; XXX-XX-12345</t>
  </si>
  <si>
    <t xml:space="preserve">v2 \s allowed matches across line breaks.</t>
  </si>
  <si>
    <t xml:space="preserve">HICN (no separators)</t>
  </si>
  <si>
    <t xml:space="preserve">123456789A; …B1; …K2; …M1; …T</t>
  </si>
  <si>
    <t xml:space="preserve">123456789; 000456789A; …Z; …N</t>
  </si>
  <si>
    <t xml:space="preserve">v2 SSN base had no validity rules; K-series suffixes absent. Verify suffix list vs CMS.</t>
  </si>
  <si>
    <t xml:space="preserve">HICN (with separators)</t>
  </si>
  <si>
    <t xml:space="preserve">123-45-6789A; 123-45-6789-B1; 123 45 6789 C2</t>
  </si>
  <si>
    <t xml:space="preserve">123-45-6789; 123-45-6789Z</t>
  </si>
  <si>
    <t xml:space="preserve">—</t>
  </si>
  <si>
    <t xml:space="preserve">Azure storage account key</t>
  </si>
  <si>
    <t xml:space="preserve">AccountKey=&lt;86 base64&gt;==</t>
  </si>
  <si>
    <t xml:space="preserve">AccountKey=&lt;40 chars&gt;</t>
  </si>
  <si>
    <t xml:space="preserve">New in v3.</t>
  </si>
  <si>
    <t xml:space="preserve">Azure SAS signature</t>
  </si>
  <si>
    <t xml:space="preserve">…?sv=…&amp;sig=&lt;44+ chars&gt;%3D</t>
  </si>
  <si>
    <t xml:space="preserve">?sig=short</t>
  </si>
  <si>
    <t xml:space="preserve">Entra ID client secret</t>
  </si>
  <si>
    <t xml:space="preserve">abc8Q~&lt;34 chars&gt;</t>
  </si>
  <si>
    <t xml:space="preserve">abcQ~…; abc8Q~short</t>
  </si>
  <si>
    <t xml:space="preserve">Password assignment</t>
  </si>
  <si>
    <t xml:space="preserve">password: Summer2026!Pw; PWD=Xk9#mq2L$v; Passwort = Geheim12345</t>
  </si>
  <si>
    <t xml:space="preserve">password reset link; pwd: short; the password is strong</t>
  </si>
  <si>
    <t xml:space="preserve">New in v3 (replaces Purview lookahead regex).</t>
  </si>
  <si>
    <t xml:space="preserve">v3 Change Log</t>
  </si>
  <si>
    <t xml:space="preserve">Changes from Compunnel2 (v2) — 2026-09-28</t>
  </si>
  <si>
    <t xml:space="preserve">#</t>
  </si>
  <si>
    <t xml:space="preserve">Sheet</t>
  </si>
  <si>
    <t xml:space="preserve">Change</t>
  </si>
  <si>
    <t xml:space="preserve">Pattern Library</t>
  </si>
  <si>
    <t xml:space="preserve">Regex amended and tested for SSN, PCI, MBI, SSN-masked, HICN; new regex for Azure keys/secrets and password assignments. Changed cells shaded yellow.</t>
  </si>
  <si>
    <t xml:space="preserve">DEFECT: v2 MBI regex (both forms) did not match valid MBIs, including CMS's example 1EG4-TE5-MK73. Corrected to CMS positional format.</t>
  </si>
  <si>
    <t xml:space="preserve">Added columns: v3 Step, v3 Regex Change, Config Verification (Panorama 2026-08-31), Step 2 Boolean Enterprise DLP Equivalent. Compunnel comments (column K) retained unchanged.</t>
  </si>
  <si>
    <t xml:space="preserve">Enforcement Readiness corrected: SSN and card detection are live via Enterprise DLP (NAB, Alert), not Classic objects; no Classic data patterns exist on either Panorama; DL and Member ID are not in Panorama.</t>
  </si>
  <si>
    <t xml:space="preserve">Coverage Matrix</t>
  </si>
  <si>
    <t xml:space="preserve">PCI on CVS Panorama: TBD → Alert (card patterns already in NAB). Aetna basis corrected (decryption is enabled; no DLP profile exists). Added Azure Access Key and Passwords rows.</t>
  </si>
  <si>
    <t xml:space="preserve">Summary Rollup</t>
  </si>
  <si>
    <t xml:space="preserve">Rebuilt with live COUNTIFS over the extended Coverage Matrix range (now includes the 2 new patterns).</t>
  </si>
  <si>
    <t xml:space="preserve">Coverage by Device Group</t>
  </si>
  <si>
    <t xml:space="preserve">New sheet: per-DG decrypt reality and what Step 1 / Step 2 can each see.</t>
  </si>
  <si>
    <t xml:space="preserve">Regex vs Boolean DLP</t>
  </si>
  <si>
    <t xml:space="preserve">New sheet: Step 1 regex stop-gap vs Step 2 Boolean Enterprise DLP, with CVS evidence.</t>
  </si>
  <si>
    <t xml:space="preserve">Regex Test Results</t>
  </si>
  <si>
    <t xml:space="preserve">New sheet: positive/negative samples and v2 defects found.</t>
  </si>
  <si>
    <t xml:space="preserve">File blocking</t>
  </si>
  <si>
    <t xml:space="preserve">OST / database / keychain: exact PAN-OS file-type IDs to confirm on a firewall. Unreferenced LV profile "temporary" blocks ALL file types — remove or correct.</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</si>
</sst>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sz val="10"/>
      <name val="Arial"/>
      <family val="2"/>
      <charset val="1"/>
    </font>
    <font>
      <sz val="10"/>
      <name val="Noto Sans CJK SC"/>
      <family val="2"/>
    </font>
    <font>
      <b val="true"/>
      <sz val="11"/>
      <color theme="0"/>
      <name val="Segoe UI"/>
      <family val="2"/>
      <charset val="1"/>
    </font>
    <font>
      <sz val="11"/>
      <color theme="1"/>
      <name val="Segoe UI"/>
      <family val="2"/>
      <charset val="1"/>
    </font>
    <font>
      <sz val="9"/>
      <color rgb="FF595959"/>
      <name val="Arial"/>
      <family val="0"/>
      <charset val="1"/>
    </font>
  </fonts>
  <fills count="8">
    <fill>
      <patternFill patternType="none"/>
    </fill>
    <fill>
      <patternFill patternType="gray125"/>
    </fill>
    <fill>
      <patternFill patternType="solid">
        <fgColor rgb="FF1F3864"/>
        <bgColor rgb="FF17375E"/>
      </patternFill>
    </fill>
    <fill>
      <patternFill patternType="solid">
        <fgColor rgb="FFFFF2CC"/>
        <bgColor rgb="FFFCE4D6"/>
      </patternFill>
    </fill>
    <fill>
      <patternFill patternType="solid">
        <fgColor theme="3" tint="-0.25"/>
        <bgColor rgb="FF1F3864"/>
      </patternFill>
    </fill>
    <fill>
      <patternFill patternType="solid">
        <fgColor rgb="FFFFEB9C"/>
        <bgColor rgb="FFFFF2CC"/>
      </patternFill>
    </fill>
    <fill>
      <patternFill patternType="solid">
        <fgColor rgb="FFD9D9D9"/>
        <bgColor rgb="FFE6E6E6"/>
      </patternFill>
    </fill>
    <fill>
      <patternFill patternType="solid">
        <fgColor rgb="FFFCE4D6"/>
        <bgColor rgb="FFFFF2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medium">
        <color rgb="FFE6E6E6"/>
      </right>
      <top style="medium">
        <color rgb="FFE6E6E6"/>
      </top>
      <bottom style="medium">
        <color rgb="FFE6E6E6"/>
      </bottom>
      <diagonal/>
    </border>
    <border diagonalUp="false" diagonalDown="false">
      <left style="thin">
        <color rgb="FFBFBFBF"/>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6" fillId="2" borderId="2"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12" fillId="0" borderId="3" xfId="0" applyFont="true" applyBorder="true" applyAlignment="true" applyProtection="false">
      <alignment horizontal="general" vertical="center" textRotation="0" wrapText="true" indent="0" shrinkToFit="false"/>
      <protection locked="true" hidden="false"/>
    </xf>
    <xf numFmtId="164" fontId="8" fillId="0" borderId="4"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bottom" textRotation="0" wrapText="false" indent="0" shrinkToFit="false"/>
      <protection locked="true" hidden="false"/>
    </xf>
    <xf numFmtId="164" fontId="7" fillId="6" borderId="2" xfId="0" applyFont="true" applyBorder="true" applyAlignment="true" applyProtection="false">
      <alignment horizontal="center" vertical="bottom" textRotation="0" wrapText="false" indent="0" shrinkToFit="false"/>
      <protection locked="true" hidden="false"/>
    </xf>
    <xf numFmtId="164" fontId="7" fillId="7" borderId="2"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6E6E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CE4D6"/>
      <rgbColor rgb="FF3366FF"/>
      <rgbColor rgb="FF33CCCC"/>
      <rgbColor rgb="FF99CC00"/>
      <rgbColor rgb="FFFFCC00"/>
      <rgbColor rgb="FFFF9900"/>
      <rgbColor rgb="FFFF6600"/>
      <rgbColor rgb="FF595959"/>
      <rgbColor rgb="FF969696"/>
      <rgbColor rgb="FF17375E"/>
      <rgbColor rgb="FF339966"/>
      <rgbColor rgb="FF003300"/>
      <rgbColor rgb="FF333300"/>
      <rgbColor rgb="FF993300"/>
      <rgbColor rgb="FF993366"/>
      <rgbColor rgb="FF33339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1"/>
  <sheetViews>
    <sheetView showFormulas="false" showGridLines="true" showRowColHeaders="true" showZeros="true" rightToLeft="false" tabSelected="true" showOutlineSymbols="true" defaultGridColor="true" view="normal" topLeftCell="A13" colorId="64" zoomScale="100" zoomScaleNormal="100" zoomScalePageLayoutView="100" workbookViewId="0">
      <pane xSplit="1" ySplit="0" topLeftCell="B13" activePane="topRight" state="frozen"/>
      <selection pane="topLeft" activeCell="A13" activeCellId="0" sqref="A13"/>
      <selection pane="topRight" activeCell="F13" activeCellId="0" sqref="F13"/>
    </sheetView>
  </sheetViews>
  <sheetFormatPr defaultColWidth="8.66796875" defaultRowHeight="14.25" zeroHeight="false" outlineLevelRow="0" outlineLevelCol="0"/>
  <cols>
    <col collapsed="false" customWidth="true" hidden="false" outlineLevel="0" max="2" min="1" style="0" width="33"/>
    <col collapsed="false" customWidth="true" hidden="false" outlineLevel="0" max="3" min="3" style="0" width="27.22"/>
    <col collapsed="false" customWidth="true" hidden="false" outlineLevel="0" max="4" min="4" style="0" width="8"/>
    <col collapsed="false" customWidth="true" hidden="false" outlineLevel="0" max="5" min="5" style="0" width="29.66"/>
    <col collapsed="false" customWidth="true" hidden="false" outlineLevel="0" max="6" min="6" style="0" width="34"/>
    <col collapsed="false" customWidth="true" hidden="false" outlineLevel="0" max="7" min="7" style="0" width="23.44"/>
    <col collapsed="false" customWidth="true" hidden="false" outlineLevel="0" max="8" min="8" style="0" width="20"/>
    <col collapsed="false" customWidth="true" hidden="false" outlineLevel="0" max="9" min="9" style="0" width="30"/>
    <col collapsed="false" customWidth="true" hidden="false" outlineLevel="0" max="10" min="10" style="0" width="44"/>
    <col collapsed="false" customWidth="true" hidden="false" outlineLevel="0" max="11" min="11" style="1" width="80.34"/>
    <col collapsed="false" customWidth="true" hidden="false" outlineLevel="0" max="12" min="12" style="0" width="16"/>
    <col collapsed="false" customWidth="true" hidden="false" outlineLevel="0" max="13" min="13" style="0" width="48"/>
    <col collapsed="false" customWidth="true" hidden="false" outlineLevel="0" max="14" min="14" style="0" width="55"/>
    <col collapsed="false" customWidth="true" hidden="false" outlineLevel="0" max="15" min="15" style="0" width="48"/>
  </cols>
  <sheetData>
    <row r="1" customFormat="false" ht="17.25" hidden="false" customHeight="true" outlineLevel="0" collapsed="false">
      <c r="A1" s="2" t="s">
        <v>0</v>
      </c>
    </row>
    <row r="2" customFormat="false" ht="15" hidden="false" customHeight="true" outlineLevel="0" collapsed="false">
      <c r="A2" s="3" t="s">
        <v>1</v>
      </c>
    </row>
    <row r="4" customFormat="false" ht="23.25" hidden="false" customHeight="true" outlineLevel="0" collapsed="false">
      <c r="A4" s="4" t="s">
        <v>2</v>
      </c>
      <c r="B4" s="4" t="s">
        <v>3</v>
      </c>
      <c r="C4" s="4" t="s">
        <v>4</v>
      </c>
      <c r="D4" s="4" t="s">
        <v>5</v>
      </c>
      <c r="E4" s="4" t="s">
        <v>6</v>
      </c>
      <c r="F4" s="4" t="s">
        <v>7</v>
      </c>
      <c r="G4" s="4" t="s">
        <v>8</v>
      </c>
      <c r="H4" s="4" t="s">
        <v>9</v>
      </c>
      <c r="I4" s="4" t="s">
        <v>10</v>
      </c>
      <c r="J4" s="4" t="s">
        <v>11</v>
      </c>
      <c r="K4" s="5" t="s">
        <v>12</v>
      </c>
      <c r="L4" s="6" t="s">
        <v>13</v>
      </c>
      <c r="M4" s="6" t="s">
        <v>14</v>
      </c>
      <c r="N4" s="6" t="s">
        <v>15</v>
      </c>
      <c r="O4" s="6" t="s">
        <v>16</v>
      </c>
    </row>
    <row r="5" customFormat="false" ht="34.5" hidden="false" customHeight="true" outlineLevel="0" collapsed="false">
      <c r="A5" s="7" t="s">
        <v>17</v>
      </c>
      <c r="B5" s="8" t="s">
        <v>18</v>
      </c>
      <c r="C5" s="8" t="s">
        <v>19</v>
      </c>
      <c r="D5" s="8" t="s">
        <v>20</v>
      </c>
      <c r="E5" s="9" t="s">
        <v>21</v>
      </c>
      <c r="F5" s="9" t="s">
        <v>22</v>
      </c>
      <c r="G5" s="8" t="s">
        <v>23</v>
      </c>
      <c r="H5" s="8" t="s">
        <v>24</v>
      </c>
      <c r="I5" s="9" t="s">
        <v>25</v>
      </c>
      <c r="J5" s="9" t="s">
        <v>26</v>
      </c>
      <c r="K5" s="10"/>
      <c r="L5" s="11" t="s">
        <v>27</v>
      </c>
      <c r="M5" s="12" t="s">
        <v>28</v>
      </c>
      <c r="N5" s="12" t="s">
        <v>29</v>
      </c>
      <c r="O5" s="12" t="s">
        <v>30</v>
      </c>
    </row>
    <row r="6" customFormat="false" ht="90.75" hidden="false" customHeight="true" outlineLevel="0" collapsed="false">
      <c r="A6" s="7" t="s">
        <v>31</v>
      </c>
      <c r="B6" s="8" t="s">
        <v>32</v>
      </c>
      <c r="C6" s="8" t="s">
        <v>33</v>
      </c>
      <c r="D6" s="8" t="s">
        <v>20</v>
      </c>
      <c r="E6" s="9" t="s">
        <v>34</v>
      </c>
      <c r="F6" s="9" t="s">
        <v>35</v>
      </c>
      <c r="G6" s="8" t="s">
        <v>36</v>
      </c>
      <c r="H6" s="8" t="s">
        <v>24</v>
      </c>
      <c r="I6" s="9" t="s">
        <v>37</v>
      </c>
      <c r="J6" s="9" t="s">
        <v>38</v>
      </c>
      <c r="K6" s="13" t="s">
        <v>39</v>
      </c>
      <c r="L6" s="11" t="s">
        <v>27</v>
      </c>
      <c r="M6" s="12" t="s">
        <v>40</v>
      </c>
      <c r="N6" s="12" t="s">
        <v>41</v>
      </c>
      <c r="O6" s="12" t="s">
        <v>42</v>
      </c>
    </row>
    <row r="7" customFormat="false" ht="24" hidden="false" customHeight="true" outlineLevel="0" collapsed="false">
      <c r="A7" s="7" t="s">
        <v>43</v>
      </c>
      <c r="B7" s="8" t="s">
        <v>18</v>
      </c>
      <c r="C7" s="8" t="s">
        <v>44</v>
      </c>
      <c r="D7" s="8" t="s">
        <v>20</v>
      </c>
      <c r="E7" s="8" t="s">
        <v>45</v>
      </c>
      <c r="F7" s="8" t="s">
        <v>45</v>
      </c>
      <c r="G7" s="8" t="s">
        <v>46</v>
      </c>
      <c r="H7" s="8" t="s">
        <v>24</v>
      </c>
      <c r="I7" s="9" t="s">
        <v>47</v>
      </c>
      <c r="J7" s="8" t="s">
        <v>48</v>
      </c>
      <c r="K7" s="8" t="s">
        <v>49</v>
      </c>
      <c r="L7" s="11" t="s">
        <v>50</v>
      </c>
      <c r="M7" s="12" t="s">
        <v>51</v>
      </c>
      <c r="N7" s="12" t="s">
        <v>52</v>
      </c>
      <c r="O7" s="12" t="s">
        <v>53</v>
      </c>
    </row>
    <row r="8" customFormat="false" ht="288.75" hidden="false" customHeight="true" outlineLevel="0" collapsed="false">
      <c r="A8" s="7" t="s">
        <v>54</v>
      </c>
      <c r="B8" s="8" t="s">
        <v>55</v>
      </c>
      <c r="C8" s="8" t="s">
        <v>56</v>
      </c>
      <c r="D8" s="8" t="s">
        <v>20</v>
      </c>
      <c r="E8" s="8" t="s">
        <v>57</v>
      </c>
      <c r="F8" s="8" t="s">
        <v>57</v>
      </c>
      <c r="G8" s="8" t="s">
        <v>58</v>
      </c>
      <c r="H8" s="8" t="s">
        <v>24</v>
      </c>
      <c r="I8" s="9" t="s">
        <v>59</v>
      </c>
      <c r="J8" s="8" t="s">
        <v>60</v>
      </c>
      <c r="K8" s="13" t="s">
        <v>61</v>
      </c>
      <c r="L8" s="11" t="s">
        <v>62</v>
      </c>
      <c r="M8" s="12" t="s">
        <v>63</v>
      </c>
      <c r="N8" s="12" t="s">
        <v>64</v>
      </c>
      <c r="O8" s="12" t="s">
        <v>65</v>
      </c>
    </row>
    <row r="9" customFormat="false" ht="100.5" hidden="false" customHeight="true" outlineLevel="0" collapsed="false">
      <c r="A9" s="7" t="s">
        <v>66</v>
      </c>
      <c r="B9" s="8" t="s">
        <v>67</v>
      </c>
      <c r="C9" s="8" t="s">
        <v>68</v>
      </c>
      <c r="D9" s="8" t="s">
        <v>20</v>
      </c>
      <c r="E9" s="9" t="s">
        <v>69</v>
      </c>
      <c r="F9" s="9" t="s">
        <v>70</v>
      </c>
      <c r="G9" s="8" t="s">
        <v>71</v>
      </c>
      <c r="H9" s="8" t="s">
        <v>24</v>
      </c>
      <c r="I9" s="9" t="s">
        <v>72</v>
      </c>
      <c r="J9" s="9" t="s">
        <v>73</v>
      </c>
      <c r="K9" s="8" t="s">
        <v>74</v>
      </c>
      <c r="L9" s="11" t="s">
        <v>75</v>
      </c>
      <c r="M9" s="12" t="s">
        <v>76</v>
      </c>
      <c r="N9" s="12" t="s">
        <v>77</v>
      </c>
      <c r="O9" s="12" t="s">
        <v>78</v>
      </c>
    </row>
    <row r="10" customFormat="false" ht="91.5" hidden="false" customHeight="true" outlineLevel="0" collapsed="false">
      <c r="A10" s="7" t="s">
        <v>79</v>
      </c>
      <c r="B10" s="8" t="s">
        <v>80</v>
      </c>
      <c r="C10" s="8" t="s">
        <v>81</v>
      </c>
      <c r="D10" s="8" t="s">
        <v>20</v>
      </c>
      <c r="E10" s="9" t="s">
        <v>82</v>
      </c>
      <c r="F10" s="9" t="s">
        <v>83</v>
      </c>
      <c r="G10" s="8" t="s">
        <v>84</v>
      </c>
      <c r="H10" s="8" t="s">
        <v>24</v>
      </c>
      <c r="I10" s="8" t="s">
        <v>85</v>
      </c>
      <c r="J10" s="8" t="s">
        <v>86</v>
      </c>
      <c r="K10" s="8" t="s">
        <v>87</v>
      </c>
      <c r="L10" s="11" t="s">
        <v>88</v>
      </c>
      <c r="M10" s="12" t="s">
        <v>89</v>
      </c>
      <c r="N10" s="12" t="s">
        <v>90</v>
      </c>
      <c r="O10" s="12" t="s">
        <v>91</v>
      </c>
    </row>
    <row r="11" customFormat="false" ht="147" hidden="false" customHeight="true" outlineLevel="0" collapsed="false">
      <c r="A11" s="7" t="s">
        <v>92</v>
      </c>
      <c r="B11" s="8" t="s">
        <v>67</v>
      </c>
      <c r="C11" s="8" t="s">
        <v>93</v>
      </c>
      <c r="D11" s="8" t="s">
        <v>20</v>
      </c>
      <c r="E11" s="9" t="s">
        <v>94</v>
      </c>
      <c r="F11" s="9" t="s">
        <v>95</v>
      </c>
      <c r="G11" s="8" t="s">
        <v>96</v>
      </c>
      <c r="H11" s="8" t="s">
        <v>24</v>
      </c>
      <c r="I11" s="8" t="s">
        <v>97</v>
      </c>
      <c r="J11" s="8" t="s">
        <v>98</v>
      </c>
      <c r="K11" s="8" t="s">
        <v>99</v>
      </c>
      <c r="L11" s="11" t="s">
        <v>100</v>
      </c>
      <c r="M11" s="12" t="s">
        <v>101</v>
      </c>
      <c r="N11" s="12" t="s">
        <v>90</v>
      </c>
      <c r="O11" s="12" t="s">
        <v>102</v>
      </c>
    </row>
    <row r="12" customFormat="false" ht="28.5" hidden="false" customHeight="true" outlineLevel="0" collapsed="false">
      <c r="A12" s="7" t="s">
        <v>103</v>
      </c>
      <c r="B12" s="14" t="s">
        <v>104</v>
      </c>
      <c r="C12" s="15"/>
      <c r="D12" s="15"/>
      <c r="E12" s="9" t="s">
        <v>105</v>
      </c>
      <c r="F12" s="9" t="s">
        <v>106</v>
      </c>
      <c r="G12" s="15"/>
      <c r="H12" s="9" t="s">
        <v>24</v>
      </c>
      <c r="I12" s="9" t="s">
        <v>107</v>
      </c>
      <c r="J12" s="9" t="s">
        <v>108</v>
      </c>
      <c r="K12" s="8" t="s">
        <v>109</v>
      </c>
      <c r="L12" s="11" t="s">
        <v>88</v>
      </c>
      <c r="M12" s="12" t="s">
        <v>110</v>
      </c>
      <c r="N12" s="12" t="s">
        <v>111</v>
      </c>
      <c r="O12" s="12" t="s">
        <v>112</v>
      </c>
    </row>
    <row r="13" customFormat="false" ht="402.75" hidden="false" customHeight="true" outlineLevel="0" collapsed="false">
      <c r="A13" s="7" t="s">
        <v>113</v>
      </c>
      <c r="B13" s="8" t="s">
        <v>104</v>
      </c>
      <c r="C13" s="10"/>
      <c r="D13" s="10"/>
      <c r="E13" s="9" t="s">
        <v>114</v>
      </c>
      <c r="F13" s="9" t="s">
        <v>115</v>
      </c>
      <c r="G13" s="10"/>
      <c r="H13" s="9" t="s">
        <v>24</v>
      </c>
      <c r="I13" s="9" t="s">
        <v>116</v>
      </c>
      <c r="J13" s="9" t="s">
        <v>117</v>
      </c>
      <c r="K13" s="8" t="s">
        <v>118</v>
      </c>
      <c r="L13" s="11" t="s">
        <v>100</v>
      </c>
      <c r="M13" s="12" t="s">
        <v>119</v>
      </c>
      <c r="N13" s="12" t="s">
        <v>120</v>
      </c>
      <c r="O13" s="12" t="s">
        <v>121</v>
      </c>
    </row>
    <row r="14" customFormat="false" ht="14.25" hidden="false" customHeight="false" outlineLevel="0" collapsed="false">
      <c r="A14" s="16"/>
    </row>
    <row r="15" customFormat="false" ht="15" hidden="false" customHeight="true" outlineLevel="0" collapsed="false">
      <c r="A15" s="16"/>
    </row>
    <row r="16" customFormat="false" ht="47.25" hidden="false" customHeight="true" outlineLevel="0" collapsed="false">
      <c r="A16" s="17" t="s">
        <v>122</v>
      </c>
      <c r="B16" s="18" t="s">
        <v>12</v>
      </c>
      <c r="C16" s="19"/>
    </row>
    <row r="17" customFormat="false" ht="27" hidden="false" customHeight="true" outlineLevel="0" collapsed="false">
      <c r="A17" s="8" t="s">
        <v>123</v>
      </c>
      <c r="B17" s="8" t="s">
        <v>124</v>
      </c>
      <c r="C17" s="19"/>
      <c r="L17" s="11" t="s">
        <v>125</v>
      </c>
      <c r="N17" s="12" t="s">
        <v>126</v>
      </c>
    </row>
    <row r="18" customFormat="false" ht="27" hidden="false" customHeight="true" outlineLevel="0" collapsed="false">
      <c r="A18" s="8" t="s">
        <v>127</v>
      </c>
      <c r="B18" s="8" t="s">
        <v>124</v>
      </c>
      <c r="C18" s="19"/>
      <c r="L18" s="11" t="s">
        <v>125</v>
      </c>
      <c r="N18" s="12" t="s">
        <v>128</v>
      </c>
    </row>
    <row r="19" customFormat="false" ht="27" hidden="false" customHeight="true" outlineLevel="0" collapsed="false">
      <c r="A19" s="8" t="s">
        <v>129</v>
      </c>
      <c r="B19" s="8" t="s">
        <v>124</v>
      </c>
      <c r="C19" s="19"/>
      <c r="L19" s="11" t="s">
        <v>125</v>
      </c>
      <c r="N19" s="12" t="s">
        <v>130</v>
      </c>
    </row>
    <row r="20" customFormat="false" ht="14.25" hidden="false" customHeight="false" outlineLevel="0" collapsed="false">
      <c r="A20" s="20"/>
      <c r="B20" s="21"/>
    </row>
    <row r="21" customFormat="false" ht="16.5" hidden="false" customHeight="true" outlineLevel="0" collapsed="false">
      <c r="A21"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8" activeCellId="0" sqref="A8"/>
    </sheetView>
  </sheetViews>
  <sheetFormatPr defaultColWidth="8.66796875" defaultRowHeight="14.25" zeroHeight="false" outlineLevelRow="0" outlineLevelCol="0"/>
  <cols>
    <col collapsed="false" customWidth="true" hidden="false" outlineLevel="0" max="1" min="1" style="0" width="34"/>
    <col collapsed="false" customWidth="true" hidden="false" outlineLevel="0" max="2" min="2" style="0" width="38"/>
    <col collapsed="false" customWidth="true" hidden="false" outlineLevel="0" max="3" min="3" style="0" width="10"/>
    <col collapsed="false" customWidth="true" hidden="false" outlineLevel="0" max="4" min="4" style="0" width="60"/>
  </cols>
  <sheetData>
    <row r="1" customFormat="false" ht="17.25" hidden="false" customHeight="true" outlineLevel="0" collapsed="false">
      <c r="A1" s="2" t="s">
        <v>131</v>
      </c>
    </row>
    <row r="2" customFormat="false" ht="15" hidden="false" customHeight="true" outlineLevel="0" collapsed="false">
      <c r="A2" s="3" t="s">
        <v>132</v>
      </c>
    </row>
    <row r="4" customFormat="false" ht="15" hidden="false" customHeight="true" outlineLevel="0" collapsed="false">
      <c r="A4" s="23" t="s">
        <v>2</v>
      </c>
      <c r="B4" s="23" t="s">
        <v>133</v>
      </c>
      <c r="C4" s="23" t="s">
        <v>134</v>
      </c>
      <c r="D4" s="23" t="s">
        <v>135</v>
      </c>
    </row>
    <row r="5" customFormat="false" ht="23.25" hidden="false" customHeight="true" outlineLevel="0" collapsed="false">
      <c r="A5" s="12" t="s">
        <v>17</v>
      </c>
      <c r="B5" s="12" t="s">
        <v>136</v>
      </c>
      <c r="C5" s="24" t="s">
        <v>137</v>
      </c>
      <c r="D5" s="9" t="s">
        <v>138</v>
      </c>
    </row>
    <row r="6" customFormat="false" ht="33" hidden="false" customHeight="true" outlineLevel="0" collapsed="false">
      <c r="A6" s="12" t="s">
        <v>17</v>
      </c>
      <c r="B6" s="12" t="s">
        <v>139</v>
      </c>
      <c r="C6" s="25" t="s">
        <v>140</v>
      </c>
      <c r="D6" s="9" t="s">
        <v>141</v>
      </c>
    </row>
    <row r="7" customFormat="false" ht="15" hidden="false" customHeight="true" outlineLevel="0" collapsed="false">
      <c r="A7" s="12" t="s">
        <v>17</v>
      </c>
      <c r="B7" s="12" t="s">
        <v>142</v>
      </c>
      <c r="C7" s="25" t="s">
        <v>140</v>
      </c>
      <c r="D7" s="12" t="s">
        <v>143</v>
      </c>
    </row>
    <row r="8" customFormat="false" ht="15" hidden="false" customHeight="true" outlineLevel="0" collapsed="false">
      <c r="A8" s="12" t="s">
        <v>31</v>
      </c>
      <c r="B8" s="12" t="s">
        <v>136</v>
      </c>
      <c r="C8" s="9" t="s">
        <v>137</v>
      </c>
      <c r="D8" s="9" t="s">
        <v>144</v>
      </c>
    </row>
    <row r="9" customFormat="false" ht="23.25" hidden="false" customHeight="true" outlineLevel="0" collapsed="false">
      <c r="A9" s="12" t="s">
        <v>31</v>
      </c>
      <c r="B9" s="12" t="s">
        <v>139</v>
      </c>
      <c r="C9" s="25" t="s">
        <v>140</v>
      </c>
      <c r="D9" s="9" t="s">
        <v>141</v>
      </c>
    </row>
    <row r="10" customFormat="false" ht="15" hidden="false" customHeight="true" outlineLevel="0" collapsed="false">
      <c r="A10" s="12" t="s">
        <v>31</v>
      </c>
      <c r="B10" s="12" t="s">
        <v>142</v>
      </c>
      <c r="C10" s="25" t="s">
        <v>140</v>
      </c>
      <c r="D10" s="12" t="s">
        <v>145</v>
      </c>
    </row>
    <row r="11" customFormat="false" ht="23.25" hidden="false" customHeight="true" outlineLevel="0" collapsed="false">
      <c r="A11" s="12" t="s">
        <v>43</v>
      </c>
      <c r="B11" s="12" t="s">
        <v>136</v>
      </c>
      <c r="C11" s="26" t="s">
        <v>146</v>
      </c>
      <c r="D11" s="9" t="s">
        <v>147</v>
      </c>
    </row>
    <row r="12" customFormat="false" ht="23.25" hidden="false" customHeight="true" outlineLevel="0" collapsed="false">
      <c r="A12" s="12" t="s">
        <v>43</v>
      </c>
      <c r="B12" s="12" t="s">
        <v>139</v>
      </c>
      <c r="C12" s="25" t="s">
        <v>140</v>
      </c>
      <c r="D12" s="9" t="s">
        <v>141</v>
      </c>
    </row>
    <row r="13" customFormat="false" ht="15" hidden="false" customHeight="true" outlineLevel="0" collapsed="false">
      <c r="A13" s="12" t="s">
        <v>43</v>
      </c>
      <c r="B13" s="12" t="s">
        <v>142</v>
      </c>
      <c r="C13" s="25" t="s">
        <v>140</v>
      </c>
      <c r="D13" s="12" t="s">
        <v>145</v>
      </c>
    </row>
    <row r="14" customFormat="false" ht="15" hidden="false" customHeight="true" outlineLevel="0" collapsed="false">
      <c r="A14" s="12" t="s">
        <v>54</v>
      </c>
      <c r="B14" s="12" t="s">
        <v>136</v>
      </c>
      <c r="C14" s="26" t="s">
        <v>146</v>
      </c>
      <c r="D14" s="9" t="s">
        <v>148</v>
      </c>
    </row>
    <row r="15" customFormat="false" ht="23.25" hidden="false" customHeight="true" outlineLevel="0" collapsed="false">
      <c r="A15" s="12" t="s">
        <v>54</v>
      </c>
      <c r="B15" s="12" t="s">
        <v>139</v>
      </c>
      <c r="C15" s="25" t="s">
        <v>140</v>
      </c>
      <c r="D15" s="9" t="s">
        <v>141</v>
      </c>
    </row>
    <row r="16" customFormat="false" ht="15" hidden="false" customHeight="true" outlineLevel="0" collapsed="false">
      <c r="A16" s="12" t="s">
        <v>54</v>
      </c>
      <c r="B16" s="12" t="s">
        <v>142</v>
      </c>
      <c r="C16" s="25" t="s">
        <v>140</v>
      </c>
      <c r="D16" s="12" t="s">
        <v>145</v>
      </c>
    </row>
    <row r="17" customFormat="false" ht="23.25" hidden="false" customHeight="true" outlineLevel="0" collapsed="false">
      <c r="A17" s="12" t="s">
        <v>66</v>
      </c>
      <c r="B17" s="12" t="s">
        <v>136</v>
      </c>
      <c r="C17" s="26" t="s">
        <v>146</v>
      </c>
      <c r="D17" s="9" t="s">
        <v>149</v>
      </c>
    </row>
    <row r="18" customFormat="false" ht="23.25" hidden="false" customHeight="true" outlineLevel="0" collapsed="false">
      <c r="A18" s="12" t="s">
        <v>66</v>
      </c>
      <c r="B18" s="12" t="s">
        <v>139</v>
      </c>
      <c r="C18" s="25" t="s">
        <v>140</v>
      </c>
      <c r="D18" s="9" t="s">
        <v>141</v>
      </c>
    </row>
    <row r="19" customFormat="false" ht="15" hidden="false" customHeight="true" outlineLevel="0" collapsed="false">
      <c r="A19" s="12" t="s">
        <v>66</v>
      </c>
      <c r="B19" s="12" t="s">
        <v>142</v>
      </c>
      <c r="C19" s="25" t="s">
        <v>140</v>
      </c>
      <c r="D19" s="12" t="s">
        <v>145</v>
      </c>
    </row>
    <row r="20" customFormat="false" ht="15" hidden="false" customHeight="true" outlineLevel="0" collapsed="false">
      <c r="A20" s="12" t="s">
        <v>79</v>
      </c>
      <c r="B20" s="12" t="s">
        <v>136</v>
      </c>
      <c r="C20" s="26" t="s">
        <v>146</v>
      </c>
      <c r="D20" s="12" t="s">
        <v>150</v>
      </c>
    </row>
    <row r="21" customFormat="false" ht="23.25" hidden="false" customHeight="true" outlineLevel="0" collapsed="false">
      <c r="A21" s="12" t="s">
        <v>79</v>
      </c>
      <c r="B21" s="12" t="s">
        <v>139</v>
      </c>
      <c r="C21" s="25" t="s">
        <v>140</v>
      </c>
      <c r="D21" s="9" t="s">
        <v>141</v>
      </c>
    </row>
    <row r="22" customFormat="false" ht="15" hidden="false" customHeight="true" outlineLevel="0" collapsed="false">
      <c r="A22" s="12" t="s">
        <v>79</v>
      </c>
      <c r="B22" s="12" t="s">
        <v>142</v>
      </c>
      <c r="C22" s="25" t="s">
        <v>140</v>
      </c>
      <c r="D22" s="12" t="s">
        <v>145</v>
      </c>
    </row>
    <row r="23" customFormat="false" ht="23.25" hidden="false" customHeight="true" outlineLevel="0" collapsed="false">
      <c r="A23" s="12" t="s">
        <v>92</v>
      </c>
      <c r="B23" s="12" t="s">
        <v>136</v>
      </c>
      <c r="C23" s="26" t="s">
        <v>146</v>
      </c>
      <c r="D23" s="12" t="s">
        <v>151</v>
      </c>
    </row>
    <row r="24" customFormat="false" ht="23.25" hidden="false" customHeight="true" outlineLevel="0" collapsed="false">
      <c r="A24" s="12" t="s">
        <v>92</v>
      </c>
      <c r="B24" s="12" t="s">
        <v>139</v>
      </c>
      <c r="C24" s="25" t="s">
        <v>140</v>
      </c>
      <c r="D24" s="9" t="s">
        <v>141</v>
      </c>
    </row>
    <row r="25" customFormat="false" ht="15" hidden="false" customHeight="true" outlineLevel="0" collapsed="false">
      <c r="A25" s="12" t="s">
        <v>92</v>
      </c>
      <c r="B25" s="12" t="s">
        <v>142</v>
      </c>
      <c r="C25" s="25" t="s">
        <v>140</v>
      </c>
      <c r="D25" s="12" t="s">
        <v>145</v>
      </c>
    </row>
    <row r="26" customFormat="false" ht="14.25" hidden="false" customHeight="false" outlineLevel="0" collapsed="false">
      <c r="A26" s="9" t="s">
        <v>152</v>
      </c>
      <c r="B26" s="9" t="s">
        <v>136</v>
      </c>
      <c r="C26" s="9" t="s">
        <v>146</v>
      </c>
      <c r="D26" s="9" t="s">
        <v>153</v>
      </c>
    </row>
    <row r="27" customFormat="false" ht="35.05" hidden="false" customHeight="false" outlineLevel="0" collapsed="false">
      <c r="A27" s="9" t="s">
        <v>152</v>
      </c>
      <c r="B27" s="9" t="s">
        <v>139</v>
      </c>
      <c r="C27" s="9" t="s">
        <v>140</v>
      </c>
      <c r="D27" s="9" t="s">
        <v>141</v>
      </c>
    </row>
    <row r="28" customFormat="false" ht="14.25" hidden="false" customHeight="false" outlineLevel="0" collapsed="false">
      <c r="A28" s="9" t="s">
        <v>152</v>
      </c>
      <c r="B28" s="9" t="s">
        <v>142</v>
      </c>
      <c r="C28" s="9" t="s">
        <v>140</v>
      </c>
      <c r="D28" s="9" t="s">
        <v>145</v>
      </c>
    </row>
    <row r="29" customFormat="false" ht="14.25" hidden="false" customHeight="false" outlineLevel="0" collapsed="false">
      <c r="A29" s="9" t="s">
        <v>113</v>
      </c>
      <c r="B29" s="9" t="s">
        <v>136</v>
      </c>
      <c r="C29" s="9" t="s">
        <v>146</v>
      </c>
      <c r="D29" s="9" t="s">
        <v>153</v>
      </c>
    </row>
    <row r="30" customFormat="false" ht="35.05" hidden="false" customHeight="false" outlineLevel="0" collapsed="false">
      <c r="A30" s="9" t="s">
        <v>113</v>
      </c>
      <c r="B30" s="9" t="s">
        <v>139</v>
      </c>
      <c r="C30" s="9" t="s">
        <v>140</v>
      </c>
      <c r="D30" s="9" t="s">
        <v>141</v>
      </c>
    </row>
    <row r="31" customFormat="false" ht="14.25" hidden="false" customHeight="false" outlineLevel="0" collapsed="false">
      <c r="A31" s="9" t="s">
        <v>113</v>
      </c>
      <c r="B31" s="9" t="s">
        <v>142</v>
      </c>
      <c r="C31" s="9" t="s">
        <v>140</v>
      </c>
      <c r="D31" s="9"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H14" activeCellId="0" sqref="H14"/>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6" min="2" style="0" width="10"/>
  </cols>
  <sheetData>
    <row r="1" customFormat="false" ht="17.25" hidden="false" customHeight="true" outlineLevel="0" collapsed="false">
      <c r="A1" s="2" t="s">
        <v>154</v>
      </c>
    </row>
    <row r="2" customFormat="false" ht="15" hidden="false" customHeight="true" outlineLevel="0" collapsed="false">
      <c r="A2" s="3" t="s">
        <v>155</v>
      </c>
    </row>
    <row r="4" customFormat="false" ht="15" hidden="false" customHeight="true" outlineLevel="0" collapsed="false">
      <c r="A4" s="27" t="s">
        <v>156</v>
      </c>
    </row>
    <row r="5" customFormat="false" ht="15" hidden="false" customHeight="true" outlineLevel="0" collapsed="false">
      <c r="A5" s="23" t="s">
        <v>2</v>
      </c>
      <c r="B5" s="23" t="s">
        <v>157</v>
      </c>
      <c r="C5" s="23" t="s">
        <v>137</v>
      </c>
      <c r="D5" s="23" t="s">
        <v>146</v>
      </c>
      <c r="E5" s="23" t="s">
        <v>140</v>
      </c>
      <c r="F5" s="23" t="s">
        <v>158</v>
      </c>
    </row>
    <row r="6" customFormat="false" ht="15" hidden="false" customHeight="true" outlineLevel="0" collapsed="false">
      <c r="A6" s="28" t="s">
        <v>17</v>
      </c>
      <c r="B6" s="29" t="n">
        <f aca="false">COUNTIFS('Coverage Matrix'!$A$5:$A$31,$A6,'Coverage Matrix'!$C$5:$C$31,"Block")</f>
        <v>0</v>
      </c>
      <c r="C6" s="29" t="n">
        <f aca="false">COUNTIFS('Coverage Matrix'!$A$5:$A$31,$A6,'Coverage Matrix'!$C$5:$C$31,"Alert")</f>
        <v>1</v>
      </c>
      <c r="D6" s="29" t="n">
        <f aca="false">COUNTIFS('Coverage Matrix'!$A$5:$A$31,$A6,'Coverage Matrix'!$C$5:$C$31,"TBD")</f>
        <v>0</v>
      </c>
      <c r="E6" s="29" t="n">
        <f aca="false">COUNTIFS('Coverage Matrix'!$A$5:$A$31,$A6,'Coverage Matrix'!$C$5:$C$31,"N/A")</f>
        <v>2</v>
      </c>
      <c r="F6" s="29" t="n">
        <f aca="false">SUM(B6:E6)</f>
        <v>3</v>
      </c>
    </row>
    <row r="7" customFormat="false" ht="15" hidden="false" customHeight="true" outlineLevel="0" collapsed="false">
      <c r="A7" s="28" t="s">
        <v>31</v>
      </c>
      <c r="B7" s="29" t="n">
        <f aca="false">COUNTIFS('Coverage Matrix'!$A$5:$A$31,$A7,'Coverage Matrix'!$C$5:$C$31,"Block")</f>
        <v>0</v>
      </c>
      <c r="C7" s="29" t="n">
        <f aca="false">COUNTIFS('Coverage Matrix'!$A$5:$A$31,$A7,'Coverage Matrix'!$C$5:$C$31,"Alert")</f>
        <v>1</v>
      </c>
      <c r="D7" s="29" t="n">
        <f aca="false">COUNTIFS('Coverage Matrix'!$A$5:$A$31,$A7,'Coverage Matrix'!$C$5:$C$31,"TBD")</f>
        <v>0</v>
      </c>
      <c r="E7" s="29" t="n">
        <f aca="false">COUNTIFS('Coverage Matrix'!$A$5:$A$31,$A7,'Coverage Matrix'!$C$5:$C$31,"N/A")</f>
        <v>2</v>
      </c>
      <c r="F7" s="29" t="n">
        <f aca="false">SUM(B7:E7)</f>
        <v>3</v>
      </c>
    </row>
    <row r="8" customFormat="false" ht="15" hidden="false" customHeight="true" outlineLevel="0" collapsed="false">
      <c r="A8" s="28" t="s">
        <v>43</v>
      </c>
      <c r="B8" s="29" t="n">
        <f aca="false">COUNTIFS('Coverage Matrix'!$A$5:$A$31,$A8,'Coverage Matrix'!$C$5:$C$31,"Block")</f>
        <v>0</v>
      </c>
      <c r="C8" s="29" t="n">
        <f aca="false">COUNTIFS('Coverage Matrix'!$A$5:$A$31,$A8,'Coverage Matrix'!$C$5:$C$31,"Alert")</f>
        <v>0</v>
      </c>
      <c r="D8" s="29" t="n">
        <f aca="false">COUNTIFS('Coverage Matrix'!$A$5:$A$31,$A8,'Coverage Matrix'!$C$5:$C$31,"TBD")</f>
        <v>1</v>
      </c>
      <c r="E8" s="29" t="n">
        <f aca="false">COUNTIFS('Coverage Matrix'!$A$5:$A$31,$A8,'Coverage Matrix'!$C$5:$C$31,"N/A")</f>
        <v>2</v>
      </c>
      <c r="F8" s="29" t="n">
        <f aca="false">SUM(B8:E8)</f>
        <v>3</v>
      </c>
    </row>
    <row r="9" customFormat="false" ht="15" hidden="false" customHeight="true" outlineLevel="0" collapsed="false">
      <c r="A9" s="28" t="s">
        <v>54</v>
      </c>
      <c r="B9" s="29" t="n">
        <f aca="false">COUNTIFS('Coverage Matrix'!$A$5:$A$31,$A9,'Coverage Matrix'!$C$5:$C$31,"Block")</f>
        <v>0</v>
      </c>
      <c r="C9" s="29" t="n">
        <f aca="false">COUNTIFS('Coverage Matrix'!$A$5:$A$31,$A9,'Coverage Matrix'!$C$5:$C$31,"Alert")</f>
        <v>0</v>
      </c>
      <c r="D9" s="29" t="n">
        <f aca="false">COUNTIFS('Coverage Matrix'!$A$5:$A$31,$A9,'Coverage Matrix'!$C$5:$C$31,"TBD")</f>
        <v>1</v>
      </c>
      <c r="E9" s="29" t="n">
        <f aca="false">COUNTIFS('Coverage Matrix'!$A$5:$A$31,$A9,'Coverage Matrix'!$C$5:$C$31,"N/A")</f>
        <v>2</v>
      </c>
      <c r="F9" s="29" t="n">
        <f aca="false">SUM(B9:E9)</f>
        <v>3</v>
      </c>
    </row>
    <row r="10" customFormat="false" ht="15" hidden="false" customHeight="true" outlineLevel="0" collapsed="false">
      <c r="A10" s="28" t="s">
        <v>66</v>
      </c>
      <c r="B10" s="29" t="n">
        <f aca="false">COUNTIFS('Coverage Matrix'!$A$5:$A$31,$A10,'Coverage Matrix'!$C$5:$C$31,"Block")</f>
        <v>0</v>
      </c>
      <c r="C10" s="29" t="n">
        <f aca="false">COUNTIFS('Coverage Matrix'!$A$5:$A$31,$A10,'Coverage Matrix'!$C$5:$C$31,"Alert")</f>
        <v>0</v>
      </c>
      <c r="D10" s="29" t="n">
        <f aca="false">COUNTIFS('Coverage Matrix'!$A$5:$A$31,$A10,'Coverage Matrix'!$C$5:$C$31,"TBD")</f>
        <v>1</v>
      </c>
      <c r="E10" s="29" t="n">
        <f aca="false">COUNTIFS('Coverage Matrix'!$A$5:$A$31,$A10,'Coverage Matrix'!$C$5:$C$31,"N/A")</f>
        <v>2</v>
      </c>
      <c r="F10" s="29" t="n">
        <f aca="false">SUM(B10:E10)</f>
        <v>3</v>
      </c>
    </row>
    <row r="11" customFormat="false" ht="15" hidden="false" customHeight="true" outlineLevel="0" collapsed="false">
      <c r="A11" s="28" t="s">
        <v>79</v>
      </c>
      <c r="B11" s="29" t="n">
        <f aca="false">COUNTIFS('Coverage Matrix'!$A$5:$A$31,$A11,'Coverage Matrix'!$C$5:$C$31,"Block")</f>
        <v>0</v>
      </c>
      <c r="C11" s="29" t="n">
        <f aca="false">COUNTIFS('Coverage Matrix'!$A$5:$A$31,$A11,'Coverage Matrix'!$C$5:$C$31,"Alert")</f>
        <v>0</v>
      </c>
      <c r="D11" s="29" t="n">
        <f aca="false">COUNTIFS('Coverage Matrix'!$A$5:$A$31,$A11,'Coverage Matrix'!$C$5:$C$31,"TBD")</f>
        <v>1</v>
      </c>
      <c r="E11" s="29" t="n">
        <f aca="false">COUNTIFS('Coverage Matrix'!$A$5:$A$31,$A11,'Coverage Matrix'!$C$5:$C$31,"N/A")</f>
        <v>2</v>
      </c>
      <c r="F11" s="29" t="n">
        <f aca="false">SUM(B11:E11)</f>
        <v>3</v>
      </c>
    </row>
    <row r="12" customFormat="false" ht="15" hidden="false" customHeight="true" outlineLevel="0" collapsed="false">
      <c r="A12" s="28" t="s">
        <v>92</v>
      </c>
      <c r="B12" s="29" t="n">
        <f aca="false">COUNTIFS('Coverage Matrix'!$A$5:$A$31,$A12,'Coverage Matrix'!$C$5:$C$31,"Block")</f>
        <v>0</v>
      </c>
      <c r="C12" s="29" t="n">
        <f aca="false">COUNTIFS('Coverage Matrix'!$A$5:$A$31,$A12,'Coverage Matrix'!$C$5:$C$31,"Alert")</f>
        <v>0</v>
      </c>
      <c r="D12" s="29" t="n">
        <f aca="false">COUNTIFS('Coverage Matrix'!$A$5:$A$31,$A12,'Coverage Matrix'!$C$5:$C$31,"TBD")</f>
        <v>1</v>
      </c>
      <c r="E12" s="29" t="n">
        <f aca="false">COUNTIFS('Coverage Matrix'!$A$5:$A$31,$A12,'Coverage Matrix'!$C$5:$C$31,"N/A")</f>
        <v>2</v>
      </c>
      <c r="F12" s="29" t="n">
        <f aca="false">SUM(B12:E12)</f>
        <v>3</v>
      </c>
    </row>
    <row r="13" customFormat="false" ht="14.25" hidden="false" customHeight="false" outlineLevel="0" collapsed="false">
      <c r="A13" s="28" t="s">
        <v>152</v>
      </c>
      <c r="B13" s="29" t="n">
        <f aca="false">COUNTIFS('Coverage Matrix'!$A$5:$A$31,$A13,'Coverage Matrix'!$C$5:$C$31,"Block")</f>
        <v>0</v>
      </c>
      <c r="C13" s="29" t="n">
        <f aca="false">COUNTIFS('Coverage Matrix'!$A$5:$A$31,$A13,'Coverage Matrix'!$C$5:$C$31,"Alert")</f>
        <v>0</v>
      </c>
      <c r="D13" s="29" t="n">
        <f aca="false">COUNTIFS('Coverage Matrix'!$A$5:$A$31,$A13,'Coverage Matrix'!$C$5:$C$31,"TBD")</f>
        <v>1</v>
      </c>
      <c r="E13" s="29" t="n">
        <f aca="false">COUNTIFS('Coverage Matrix'!$A$5:$A$31,$A13,'Coverage Matrix'!$C$5:$C$31,"N/A")</f>
        <v>2</v>
      </c>
      <c r="F13" s="29" t="n">
        <f aca="false">SUM(B13:E13)</f>
        <v>3</v>
      </c>
    </row>
    <row r="14" customFormat="false" ht="15" hidden="false" customHeight="true" outlineLevel="0" collapsed="false">
      <c r="A14" s="28" t="s">
        <v>113</v>
      </c>
      <c r="B14" s="29" t="n">
        <f aca="false">COUNTIFS('Coverage Matrix'!$A$5:$A$31,$A14,'Coverage Matrix'!$C$5:$C$31,"Block")</f>
        <v>0</v>
      </c>
      <c r="C14" s="29" t="n">
        <f aca="false">COUNTIFS('Coverage Matrix'!$A$5:$A$31,$A14,'Coverage Matrix'!$C$5:$C$31,"Alert")</f>
        <v>0</v>
      </c>
      <c r="D14" s="29" t="n">
        <f aca="false">COUNTIFS('Coverage Matrix'!$A$5:$A$31,$A14,'Coverage Matrix'!$C$5:$C$31,"TBD")</f>
        <v>1</v>
      </c>
      <c r="E14" s="29" t="n">
        <f aca="false">COUNTIFS('Coverage Matrix'!$A$5:$A$31,$A14,'Coverage Matrix'!$C$5:$C$31,"N/A")</f>
        <v>2</v>
      </c>
      <c r="F14" s="29" t="n">
        <f aca="false">SUM(B14:E14)</f>
        <v>3</v>
      </c>
    </row>
    <row r="15" customFormat="false" ht="15" hidden="false" customHeight="true" outlineLevel="0" collapsed="false"/>
    <row r="16" customFormat="false" ht="15" hidden="false" customHeight="true" outlineLevel="0" collapsed="false">
      <c r="A16" s="27" t="s">
        <v>159</v>
      </c>
    </row>
    <row r="17" customFormat="false" ht="15" hidden="false" customHeight="true" outlineLevel="0" collapsed="false">
      <c r="A17" s="23" t="s">
        <v>133</v>
      </c>
      <c r="B17" s="23" t="s">
        <v>157</v>
      </c>
      <c r="C17" s="23" t="s">
        <v>137</v>
      </c>
      <c r="D17" s="23" t="s">
        <v>146</v>
      </c>
      <c r="E17" s="23" t="s">
        <v>140</v>
      </c>
      <c r="F17" s="23" t="s">
        <v>158</v>
      </c>
    </row>
    <row r="18" customFormat="false" ht="15" hidden="false" customHeight="true" outlineLevel="0" collapsed="false">
      <c r="A18" s="28" t="s">
        <v>136</v>
      </c>
      <c r="B18" s="29" t="n">
        <f aca="false">COUNTIFS('Coverage Matrix'!$B$5:$B$31,$A18,'Coverage Matrix'!$C$5:$C$31,"Block")</f>
        <v>0</v>
      </c>
      <c r="C18" s="29" t="n">
        <f aca="false">COUNTIFS('Coverage Matrix'!$B$5:$B$31,$A18,'Coverage Matrix'!$C$5:$C$31,"Alert")</f>
        <v>2</v>
      </c>
      <c r="D18" s="29" t="n">
        <f aca="false">COUNTIFS('Coverage Matrix'!$B$5:$B$31,$A18,'Coverage Matrix'!$C$5:$C$31,"TBD")</f>
        <v>7</v>
      </c>
      <c r="E18" s="29" t="n">
        <f aca="false">COUNTIFS('Coverage Matrix'!$B$5:$B$31,$A18,'Coverage Matrix'!$C$5:$C$31,"N/A")</f>
        <v>0</v>
      </c>
      <c r="F18" s="29" t="n">
        <f aca="false">SUM(B18:E18)</f>
        <v>9</v>
      </c>
    </row>
    <row r="19" customFormat="false" ht="14.25" hidden="false" customHeight="false" outlineLevel="0" collapsed="false">
      <c r="A19" s="28" t="s">
        <v>139</v>
      </c>
      <c r="B19" s="29" t="n">
        <f aca="false">COUNTIFS('Coverage Matrix'!$B$5:$B$31,$A19,'Coverage Matrix'!$C$5:$C$31,"Block")</f>
        <v>0</v>
      </c>
      <c r="C19" s="29" t="n">
        <f aca="false">COUNTIFS('Coverage Matrix'!$B$5:$B$31,$A19,'Coverage Matrix'!$C$5:$C$31,"Alert")</f>
        <v>0</v>
      </c>
      <c r="D19" s="29" t="n">
        <f aca="false">COUNTIFS('Coverage Matrix'!$B$5:$B$31,$A19,'Coverage Matrix'!$C$5:$C$31,"TBD")</f>
        <v>0</v>
      </c>
      <c r="E19" s="29" t="n">
        <f aca="false">COUNTIFS('Coverage Matrix'!$B$5:$B$31,$A19,'Coverage Matrix'!$C$5:$C$31,"N/A")</f>
        <v>9</v>
      </c>
      <c r="F19" s="29" t="n">
        <f aca="false">SUM(B19:E19)</f>
        <v>9</v>
      </c>
    </row>
    <row r="20" customFormat="false" ht="15" hidden="false" customHeight="true" outlineLevel="0" collapsed="false">
      <c r="A20" s="28" t="s">
        <v>142</v>
      </c>
      <c r="B20" s="29" t="n">
        <f aca="false">COUNTIFS('Coverage Matrix'!$B$5:$B$31,$A20,'Coverage Matrix'!$C$5:$C$31,"Block")</f>
        <v>0</v>
      </c>
      <c r="C20" s="29" t="n">
        <f aca="false">COUNTIFS('Coverage Matrix'!$B$5:$B$31,$A20,'Coverage Matrix'!$C$5:$C$31,"Alert")</f>
        <v>0</v>
      </c>
      <c r="D20" s="29" t="n">
        <f aca="false">COUNTIFS('Coverage Matrix'!$B$5:$B$31,$A20,'Coverage Matrix'!$C$5:$C$31,"TBD")</f>
        <v>0</v>
      </c>
      <c r="E20" s="29" t="n">
        <f aca="false">COUNTIFS('Coverage Matrix'!$B$5:$B$31,$A20,'Coverage Matrix'!$C$5:$C$31,"N/A")</f>
        <v>9</v>
      </c>
      <c r="F20" s="29" t="n">
        <f aca="false">SUM(B20:E20)</f>
        <v>9</v>
      </c>
    </row>
    <row r="21" customFormat="false" ht="14.25" hidden="false" customHeight="false" outlineLevel="0" collapsed="false">
      <c r="A21" s="30" t="s">
        <v>160</v>
      </c>
      <c r="B21" s="31" t="n">
        <f aca="false">COUNTIF('Coverage Matrix'!$C$5:$C$31,"Block")</f>
        <v>0</v>
      </c>
      <c r="C21" s="31" t="n">
        <f aca="false">COUNTIF('Coverage Matrix'!$C$5:$C$31,"Alert")</f>
        <v>2</v>
      </c>
      <c r="D21" s="31" t="n">
        <f aca="false">COUNTIF('Coverage Matrix'!$C$5:$C$31,"TBD")</f>
        <v>7</v>
      </c>
      <c r="E21" s="31" t="n">
        <f aca="false">COUNTIF('Coverage Matrix'!$C$5:$C$31,"N/A")</f>
        <v>18</v>
      </c>
      <c r="F21" s="31" t="n">
        <f aca="false">SUM(B21:E21)</f>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42"/>
    <col collapsed="false" customWidth="true" hidden="false" outlineLevel="0" max="4" min="4" style="0" width="30"/>
    <col collapsed="false" customWidth="true" hidden="false" outlineLevel="0" max="5" min="5" style="0" width="26"/>
    <col collapsed="false" customWidth="true" hidden="false" outlineLevel="0" max="6" min="6" style="0" width="34"/>
    <col collapsed="false" customWidth="true" hidden="false" outlineLevel="0" max="7" min="7" style="0" width="30"/>
    <col collapsed="false" customWidth="true" hidden="false" outlineLevel="0" max="8" min="8" style="0" width="40"/>
  </cols>
  <sheetData>
    <row r="1" customFormat="false" ht="17.35" hidden="false" customHeight="false" outlineLevel="0" collapsed="false">
      <c r="A1" s="2" t="s">
        <v>161</v>
      </c>
    </row>
    <row r="2" customFormat="false" ht="15" hidden="false" customHeight="false" outlineLevel="0" collapsed="false">
      <c r="A2" s="32" t="s">
        <v>162</v>
      </c>
    </row>
    <row r="4" customFormat="false" ht="23.85" hidden="false" customHeight="false" outlineLevel="0" collapsed="false">
      <c r="A4" s="6" t="s">
        <v>163</v>
      </c>
      <c r="B4" s="6" t="s">
        <v>164</v>
      </c>
      <c r="C4" s="6" t="s">
        <v>165</v>
      </c>
      <c r="D4" s="6" t="s">
        <v>166</v>
      </c>
      <c r="E4" s="6" t="s">
        <v>167</v>
      </c>
      <c r="F4" s="6" t="s">
        <v>168</v>
      </c>
      <c r="G4" s="6" t="s">
        <v>169</v>
      </c>
      <c r="H4" s="6" t="s">
        <v>170</v>
      </c>
    </row>
    <row r="5" customFormat="false" ht="57.45" hidden="false" customHeight="false" outlineLevel="0" collapsed="false">
      <c r="A5" s="11" t="s">
        <v>171</v>
      </c>
      <c r="B5" s="12" t="s">
        <v>172</v>
      </c>
      <c r="C5" s="12" t="s">
        <v>173</v>
      </c>
      <c r="D5" s="12" t="s">
        <v>174</v>
      </c>
      <c r="E5" s="12" t="s">
        <v>175</v>
      </c>
      <c r="F5" s="12" t="s">
        <v>176</v>
      </c>
      <c r="G5" s="12" t="s">
        <v>176</v>
      </c>
      <c r="H5" s="12" t="s">
        <v>177</v>
      </c>
    </row>
    <row r="6" customFormat="false" ht="23.85" hidden="false" customHeight="false" outlineLevel="0" collapsed="false">
      <c r="A6" s="11" t="s">
        <v>178</v>
      </c>
      <c r="B6" s="12" t="s">
        <v>179</v>
      </c>
      <c r="C6" s="12" t="s">
        <v>180</v>
      </c>
      <c r="D6" s="12" t="s">
        <v>181</v>
      </c>
      <c r="E6" s="12" t="s">
        <v>175</v>
      </c>
      <c r="F6" s="12" t="s">
        <v>176</v>
      </c>
      <c r="G6" s="12" t="s">
        <v>176</v>
      </c>
      <c r="H6" s="12" t="s">
        <v>180</v>
      </c>
    </row>
    <row r="7" customFormat="false" ht="46.25" hidden="false" customHeight="false" outlineLevel="0" collapsed="false">
      <c r="A7" s="11" t="s">
        <v>182</v>
      </c>
      <c r="B7" s="12" t="s">
        <v>183</v>
      </c>
      <c r="C7" s="12" t="s">
        <v>184</v>
      </c>
      <c r="D7" s="12" t="s">
        <v>185</v>
      </c>
      <c r="E7" s="12" t="s">
        <v>186</v>
      </c>
      <c r="F7" s="12" t="s">
        <v>187</v>
      </c>
      <c r="G7" s="12" t="s">
        <v>187</v>
      </c>
      <c r="H7" s="12" t="s">
        <v>188</v>
      </c>
    </row>
    <row r="8" customFormat="false" ht="23.85" hidden="false" customHeight="false" outlineLevel="0" collapsed="false">
      <c r="A8" s="11" t="s">
        <v>189</v>
      </c>
      <c r="B8" s="12" t="s">
        <v>190</v>
      </c>
      <c r="C8" s="12" t="s">
        <v>191</v>
      </c>
      <c r="D8" s="12" t="s">
        <v>192</v>
      </c>
      <c r="E8" s="12" t="s">
        <v>175</v>
      </c>
      <c r="F8" s="12" t="s">
        <v>193</v>
      </c>
      <c r="G8" s="12" t="s">
        <v>193</v>
      </c>
      <c r="H8" s="12" t="s">
        <v>194</v>
      </c>
    </row>
    <row r="9" customFormat="false" ht="35.05" hidden="false" customHeight="false" outlineLevel="0" collapsed="false">
      <c r="A9" s="11" t="s">
        <v>195</v>
      </c>
      <c r="B9" s="12" t="s">
        <v>196</v>
      </c>
      <c r="C9" s="12" t="s">
        <v>197</v>
      </c>
      <c r="D9" s="12" t="s">
        <v>198</v>
      </c>
      <c r="E9" s="12" t="s">
        <v>175</v>
      </c>
      <c r="F9" s="12" t="s">
        <v>199</v>
      </c>
      <c r="G9" s="12" t="s">
        <v>199</v>
      </c>
      <c r="H9" s="12" t="s">
        <v>200</v>
      </c>
    </row>
    <row r="10" customFormat="false" ht="35.05" hidden="false" customHeight="false" outlineLevel="0" collapsed="false">
      <c r="A10" s="11" t="s">
        <v>201</v>
      </c>
      <c r="B10" s="12" t="s">
        <v>202</v>
      </c>
      <c r="C10" s="12" t="s">
        <v>203</v>
      </c>
      <c r="D10" s="12" t="s">
        <v>204</v>
      </c>
      <c r="E10" s="12" t="s">
        <v>175</v>
      </c>
      <c r="F10" s="12" t="s">
        <v>205</v>
      </c>
      <c r="G10" s="12" t="s">
        <v>205</v>
      </c>
      <c r="H10" s="12" t="s">
        <v>206</v>
      </c>
    </row>
    <row r="11" customFormat="false" ht="57.45" hidden="false" customHeight="false" outlineLevel="0" collapsed="false">
      <c r="A11" s="11" t="s">
        <v>207</v>
      </c>
      <c r="B11" s="12" t="s">
        <v>208</v>
      </c>
      <c r="C11" s="12" t="s">
        <v>209</v>
      </c>
      <c r="D11" s="12" t="s">
        <v>210</v>
      </c>
      <c r="E11" s="12" t="s">
        <v>211</v>
      </c>
      <c r="F11" s="12" t="s">
        <v>212</v>
      </c>
      <c r="G11" s="12" t="s">
        <v>212</v>
      </c>
      <c r="H11" s="12" t="s">
        <v>213</v>
      </c>
    </row>
    <row r="12" customFormat="false" ht="23.85" hidden="false" customHeight="false" outlineLevel="0" collapsed="false">
      <c r="A12" s="11" t="s">
        <v>142</v>
      </c>
      <c r="B12" s="12" t="s">
        <v>214</v>
      </c>
      <c r="C12" s="12" t="s">
        <v>215</v>
      </c>
      <c r="D12" s="12" t="s">
        <v>216</v>
      </c>
      <c r="E12" s="12" t="s">
        <v>216</v>
      </c>
      <c r="F12" s="12" t="s">
        <v>140</v>
      </c>
      <c r="G12" s="12" t="s">
        <v>140</v>
      </c>
      <c r="H12" s="12" t="s">
        <v>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52"/>
  </cols>
  <sheetData>
    <row r="1" customFormat="false" ht="17.35" hidden="false" customHeight="false" outlineLevel="0" collapsed="false">
      <c r="A1" s="2" t="s">
        <v>218</v>
      </c>
    </row>
    <row r="2" customFormat="false" ht="15" hidden="false" customHeight="false" outlineLevel="0" collapsed="false">
      <c r="A2" s="32" t="s">
        <v>219</v>
      </c>
    </row>
    <row r="4" customFormat="false" ht="15" hidden="false" customHeight="false" outlineLevel="0" collapsed="false">
      <c r="A4" s="6" t="s">
        <v>220</v>
      </c>
      <c r="B4" s="6" t="s">
        <v>221</v>
      </c>
      <c r="C4" s="6" t="s">
        <v>222</v>
      </c>
      <c r="D4" s="6" t="s">
        <v>223</v>
      </c>
    </row>
    <row r="5" customFormat="false" ht="35.05" hidden="false" customHeight="false" outlineLevel="0" collapsed="false">
      <c r="A5" s="11" t="s">
        <v>224</v>
      </c>
      <c r="B5" s="12" t="s">
        <v>225</v>
      </c>
      <c r="C5" s="12" t="s">
        <v>226</v>
      </c>
      <c r="D5" s="12" t="s">
        <v>227</v>
      </c>
    </row>
    <row r="6" customFormat="false" ht="23.85" hidden="false" customHeight="false" outlineLevel="0" collapsed="false">
      <c r="A6" s="11" t="s">
        <v>228</v>
      </c>
      <c r="B6" s="12" t="s">
        <v>229</v>
      </c>
      <c r="C6" s="12" t="s">
        <v>230</v>
      </c>
      <c r="D6" s="12" t="s">
        <v>231</v>
      </c>
    </row>
    <row r="7" customFormat="false" ht="23.85" hidden="false" customHeight="false" outlineLevel="0" collapsed="false">
      <c r="A7" s="11" t="s">
        <v>232</v>
      </c>
      <c r="B7" s="12" t="s">
        <v>233</v>
      </c>
      <c r="C7" s="12" t="s">
        <v>234</v>
      </c>
      <c r="D7" s="12" t="s">
        <v>235</v>
      </c>
    </row>
    <row r="8" customFormat="false" ht="35.05" hidden="false" customHeight="false" outlineLevel="0" collapsed="false">
      <c r="A8" s="11" t="s">
        <v>236</v>
      </c>
      <c r="B8" s="12" t="s">
        <v>237</v>
      </c>
      <c r="C8" s="12" t="s">
        <v>238</v>
      </c>
      <c r="D8" s="12" t="s">
        <v>239</v>
      </c>
    </row>
    <row r="9" customFormat="false" ht="35.05" hidden="false" customHeight="false" outlineLevel="0" collapsed="false">
      <c r="A9" s="11" t="s">
        <v>240</v>
      </c>
      <c r="B9" s="12" t="s">
        <v>241</v>
      </c>
      <c r="C9" s="12" t="s">
        <v>242</v>
      </c>
      <c r="D9" s="12" t="s">
        <v>243</v>
      </c>
    </row>
    <row r="10" customFormat="false" ht="35.05" hidden="false" customHeight="false" outlineLevel="0" collapsed="false">
      <c r="A10" s="11" t="s">
        <v>244</v>
      </c>
      <c r="B10" s="12" t="s">
        <v>245</v>
      </c>
      <c r="C10" s="12" t="s">
        <v>246</v>
      </c>
      <c r="D10" s="12" t="s">
        <v>247</v>
      </c>
    </row>
    <row r="11" customFormat="false" ht="35.05" hidden="false" customHeight="false" outlineLevel="0" collapsed="false">
      <c r="A11" s="11" t="s">
        <v>248</v>
      </c>
      <c r="B11" s="12" t="s">
        <v>249</v>
      </c>
      <c r="C11" s="12" t="s">
        <v>250</v>
      </c>
      <c r="D11" s="12" t="s">
        <v>251</v>
      </c>
    </row>
    <row r="12" customFormat="false" ht="35.05" hidden="false" customHeight="false" outlineLevel="0" collapsed="false">
      <c r="A12" s="11" t="s">
        <v>252</v>
      </c>
      <c r="B12" s="12" t="s">
        <v>253</v>
      </c>
      <c r="C12" s="12" t="s">
        <v>254</v>
      </c>
      <c r="D12" s="12" t="s">
        <v>255</v>
      </c>
    </row>
    <row r="13" customFormat="false" ht="35.05" hidden="false" customHeight="false" outlineLevel="0" collapsed="false">
      <c r="A13" s="11" t="s">
        <v>256</v>
      </c>
      <c r="B13" s="12" t="s">
        <v>257</v>
      </c>
      <c r="C13" s="12" t="s">
        <v>258</v>
      </c>
      <c r="D13" s="12" t="s">
        <v>259</v>
      </c>
    </row>
    <row r="14" customFormat="false" ht="35.05" hidden="false" customHeight="false" outlineLevel="0" collapsed="false">
      <c r="A14" s="11" t="s">
        <v>260</v>
      </c>
      <c r="B14" s="12" t="s">
        <v>261</v>
      </c>
      <c r="C14" s="12" t="s">
        <v>262</v>
      </c>
      <c r="D14" s="12" t="s">
        <v>263</v>
      </c>
    </row>
    <row r="15" customFormat="false" ht="23.85" hidden="false" customHeight="false" outlineLevel="0" collapsed="false">
      <c r="A15" s="11" t="s">
        <v>264</v>
      </c>
      <c r="B15" s="12" t="s">
        <v>265</v>
      </c>
      <c r="C15" s="12" t="s">
        <v>266</v>
      </c>
      <c r="D15" s="12" t="s">
        <v>267</v>
      </c>
    </row>
    <row r="16" customFormat="false" ht="23.85" hidden="false" customHeight="false" outlineLevel="0" collapsed="false">
      <c r="A16" s="11" t="s">
        <v>268</v>
      </c>
      <c r="B16" s="12" t="s">
        <v>269</v>
      </c>
      <c r="C16" s="12" t="s">
        <v>269</v>
      </c>
      <c r="D16" s="12" t="s">
        <v>270</v>
      </c>
    </row>
    <row r="17" customFormat="false" ht="35.05" hidden="false" customHeight="false" outlineLevel="0" collapsed="false">
      <c r="A17" s="11" t="s">
        <v>271</v>
      </c>
      <c r="B17" s="12" t="s">
        <v>272</v>
      </c>
      <c r="C17" s="12" t="s">
        <v>273</v>
      </c>
      <c r="D17" s="12" t="s">
        <v>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10"/>
    <col collapsed="false" customWidth="true" hidden="false" outlineLevel="0" max="5" min="5" style="0" width="60"/>
  </cols>
  <sheetData>
    <row r="1" customFormat="false" ht="17.35" hidden="false" customHeight="false" outlineLevel="0" collapsed="false">
      <c r="A1" s="2" t="s">
        <v>275</v>
      </c>
    </row>
    <row r="2" customFormat="false" ht="15" hidden="false" customHeight="false" outlineLevel="0" collapsed="false">
      <c r="A2" s="32" t="s">
        <v>276</v>
      </c>
    </row>
    <row r="4" customFormat="false" ht="15" hidden="false" customHeight="false" outlineLevel="0" collapsed="false">
      <c r="A4" s="6" t="s">
        <v>277</v>
      </c>
      <c r="B4" s="6" t="s">
        <v>278</v>
      </c>
      <c r="C4" s="6" t="s">
        <v>279</v>
      </c>
      <c r="D4" s="6" t="s">
        <v>280</v>
      </c>
      <c r="E4" s="6" t="s">
        <v>281</v>
      </c>
    </row>
    <row r="5" customFormat="false" ht="23.85" hidden="false" customHeight="false" outlineLevel="0" collapsed="false">
      <c r="A5" s="11" t="s">
        <v>282</v>
      </c>
      <c r="B5" s="12" t="s">
        <v>283</v>
      </c>
      <c r="C5" s="12" t="s">
        <v>284</v>
      </c>
      <c r="D5" s="12" t="s">
        <v>285</v>
      </c>
      <c r="E5" s="12" t="s">
        <v>286</v>
      </c>
    </row>
    <row r="6" customFormat="false" ht="23.85" hidden="false" customHeight="false" outlineLevel="0" collapsed="false">
      <c r="A6" s="11" t="s">
        <v>287</v>
      </c>
      <c r="B6" s="12" t="s">
        <v>288</v>
      </c>
      <c r="C6" s="12" t="s">
        <v>289</v>
      </c>
      <c r="D6" s="12" t="s">
        <v>285</v>
      </c>
      <c r="E6" s="12" t="s">
        <v>290</v>
      </c>
    </row>
    <row r="7" customFormat="false" ht="23.85" hidden="false" customHeight="false" outlineLevel="0" collapsed="false">
      <c r="A7" s="11" t="s">
        <v>291</v>
      </c>
      <c r="B7" s="12" t="s">
        <v>292</v>
      </c>
      <c r="C7" s="12" t="s">
        <v>293</v>
      </c>
      <c r="D7" s="12" t="s">
        <v>285</v>
      </c>
      <c r="E7" s="12" t="s">
        <v>294</v>
      </c>
    </row>
    <row r="8" customFormat="false" ht="23.85" hidden="false" customHeight="false" outlineLevel="0" collapsed="false">
      <c r="A8" s="11" t="s">
        <v>295</v>
      </c>
      <c r="B8" s="12" t="s">
        <v>296</v>
      </c>
      <c r="C8" s="12" t="s">
        <v>297</v>
      </c>
      <c r="D8" s="12" t="s">
        <v>285</v>
      </c>
      <c r="E8" s="12" t="s">
        <v>298</v>
      </c>
    </row>
    <row r="9" customFormat="false" ht="23.85" hidden="false" customHeight="false" outlineLevel="0" collapsed="false">
      <c r="A9" s="11" t="s">
        <v>299</v>
      </c>
      <c r="B9" s="12" t="s">
        <v>300</v>
      </c>
      <c r="C9" s="12" t="s">
        <v>301</v>
      </c>
      <c r="D9" s="12" t="s">
        <v>285</v>
      </c>
      <c r="E9" s="12" t="s">
        <v>302</v>
      </c>
    </row>
    <row r="10" customFormat="false" ht="15" hidden="false" customHeight="false" outlineLevel="0" collapsed="false">
      <c r="A10" s="11" t="s">
        <v>303</v>
      </c>
      <c r="B10" s="12" t="s">
        <v>304</v>
      </c>
      <c r="C10" s="12" t="s">
        <v>305</v>
      </c>
      <c r="D10" s="12" t="s">
        <v>285</v>
      </c>
      <c r="E10" s="12" t="s">
        <v>306</v>
      </c>
    </row>
    <row r="11" customFormat="false" ht="15" hidden="false" customHeight="false" outlineLevel="0" collapsed="false">
      <c r="A11" s="11" t="s">
        <v>307</v>
      </c>
      <c r="B11" s="12" t="s">
        <v>308</v>
      </c>
      <c r="C11" s="12" t="s">
        <v>309</v>
      </c>
      <c r="D11" s="12" t="s">
        <v>285</v>
      </c>
      <c r="E11" s="12" t="s">
        <v>310</v>
      </c>
    </row>
    <row r="12" customFormat="false" ht="15" hidden="false" customHeight="false" outlineLevel="0" collapsed="false">
      <c r="A12" s="11" t="s">
        <v>311</v>
      </c>
      <c r="B12" s="12" t="s">
        <v>312</v>
      </c>
      <c r="C12" s="12" t="s">
        <v>313</v>
      </c>
      <c r="D12" s="12" t="s">
        <v>285</v>
      </c>
      <c r="E12" s="12" t="s">
        <v>314</v>
      </c>
    </row>
    <row r="13" customFormat="false" ht="23.85" hidden="false" customHeight="false" outlineLevel="0" collapsed="false">
      <c r="A13" s="11" t="s">
        <v>315</v>
      </c>
      <c r="B13" s="12" t="s">
        <v>316</v>
      </c>
      <c r="C13" s="12" t="s">
        <v>317</v>
      </c>
      <c r="D13" s="12" t="s">
        <v>285</v>
      </c>
      <c r="E13" s="12" t="s">
        <v>318</v>
      </c>
    </row>
    <row r="14" customFormat="false" ht="15" hidden="false" customHeight="false" outlineLevel="0" collapsed="false">
      <c r="A14" s="11" t="s">
        <v>319</v>
      </c>
      <c r="B14" s="12" t="s">
        <v>320</v>
      </c>
      <c r="C14" s="12" t="s">
        <v>321</v>
      </c>
      <c r="D14" s="12" t="s">
        <v>285</v>
      </c>
      <c r="E14" s="12" t="s">
        <v>322</v>
      </c>
    </row>
    <row r="15" customFormat="false" ht="15" hidden="false" customHeight="false" outlineLevel="0" collapsed="false">
      <c r="A15" s="11" t="s">
        <v>323</v>
      </c>
      <c r="B15" s="12" t="s">
        <v>324</v>
      </c>
      <c r="C15" s="12" t="s">
        <v>325</v>
      </c>
      <c r="D15" s="12" t="s">
        <v>285</v>
      </c>
      <c r="E15" s="12" t="s">
        <v>326</v>
      </c>
    </row>
    <row r="16" customFormat="false" ht="15" hidden="false" customHeight="false" outlineLevel="0" collapsed="false">
      <c r="A16" s="11" t="s">
        <v>327</v>
      </c>
      <c r="B16" s="12" t="s">
        <v>328</v>
      </c>
      <c r="C16" s="12" t="s">
        <v>329</v>
      </c>
      <c r="D16" s="12" t="s">
        <v>285</v>
      </c>
      <c r="E16" s="12" t="s">
        <v>326</v>
      </c>
    </row>
    <row r="17" customFormat="false" ht="15" hidden="false" customHeight="false" outlineLevel="0" collapsed="false">
      <c r="A17" s="11" t="s">
        <v>330</v>
      </c>
      <c r="B17" s="12" t="s">
        <v>331</v>
      </c>
      <c r="C17" s="12" t="s">
        <v>332</v>
      </c>
      <c r="D17" s="12" t="s">
        <v>285</v>
      </c>
      <c r="E17" s="12" t="s">
        <v>326</v>
      </c>
    </row>
    <row r="18" customFormat="false" ht="23.85" hidden="false" customHeight="false" outlineLevel="0" collapsed="false">
      <c r="A18" s="11" t="s">
        <v>333</v>
      </c>
      <c r="B18" s="12" t="s">
        <v>334</v>
      </c>
      <c r="C18" s="12" t="s">
        <v>335</v>
      </c>
      <c r="D18" s="12" t="s">
        <v>285</v>
      </c>
      <c r="E18" s="12"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10"/>
  </cols>
  <sheetData>
    <row r="1" customFormat="false" ht="17.35" hidden="false" customHeight="false" outlineLevel="0" collapsed="false">
      <c r="A1" s="2" t="s">
        <v>337</v>
      </c>
    </row>
    <row r="2" customFormat="false" ht="15" hidden="false" customHeight="false" outlineLevel="0" collapsed="false">
      <c r="A2" s="32" t="s">
        <v>338</v>
      </c>
    </row>
    <row r="4" customFormat="false" ht="15" hidden="false" customHeight="false" outlineLevel="0" collapsed="false">
      <c r="A4" s="6" t="s">
        <v>339</v>
      </c>
      <c r="B4" s="6" t="s">
        <v>340</v>
      </c>
      <c r="C4" s="6" t="s">
        <v>341</v>
      </c>
    </row>
    <row r="5" customFormat="false" ht="23.85" hidden="false" customHeight="false" outlineLevel="0" collapsed="false">
      <c r="A5" s="12" t="n">
        <v>1</v>
      </c>
      <c r="B5" s="11" t="s">
        <v>342</v>
      </c>
      <c r="C5" s="12" t="s">
        <v>343</v>
      </c>
    </row>
    <row r="6" customFormat="false" ht="23.85" hidden="false" customHeight="false" outlineLevel="0" collapsed="false">
      <c r="A6" s="12" t="n">
        <v>2</v>
      </c>
      <c r="B6" s="11" t="s">
        <v>342</v>
      </c>
      <c r="C6" s="12" t="s">
        <v>344</v>
      </c>
    </row>
    <row r="7" customFormat="false" ht="23.85" hidden="false" customHeight="false" outlineLevel="0" collapsed="false">
      <c r="A7" s="12" t="n">
        <v>3</v>
      </c>
      <c r="B7" s="11" t="s">
        <v>342</v>
      </c>
      <c r="C7" s="12" t="s">
        <v>345</v>
      </c>
    </row>
    <row r="8" customFormat="false" ht="23.85" hidden="false" customHeight="false" outlineLevel="0" collapsed="false">
      <c r="A8" s="12" t="n">
        <v>4</v>
      </c>
      <c r="B8" s="11" t="s">
        <v>342</v>
      </c>
      <c r="C8" s="12" t="s">
        <v>346</v>
      </c>
    </row>
    <row r="9" customFormat="false" ht="23.85" hidden="false" customHeight="false" outlineLevel="0" collapsed="false">
      <c r="A9" s="12" t="n">
        <v>5</v>
      </c>
      <c r="B9" s="11" t="s">
        <v>347</v>
      </c>
      <c r="C9" s="12" t="s">
        <v>348</v>
      </c>
    </row>
    <row r="10" customFormat="false" ht="15" hidden="false" customHeight="false" outlineLevel="0" collapsed="false">
      <c r="A10" s="12" t="n">
        <v>6</v>
      </c>
      <c r="B10" s="11" t="s">
        <v>349</v>
      </c>
      <c r="C10" s="12" t="s">
        <v>350</v>
      </c>
    </row>
    <row r="11" customFormat="false" ht="15" hidden="false" customHeight="false" outlineLevel="0" collapsed="false">
      <c r="A11" s="12" t="n">
        <v>7</v>
      </c>
      <c r="B11" s="11" t="s">
        <v>351</v>
      </c>
      <c r="C11" s="12" t="s">
        <v>352</v>
      </c>
    </row>
    <row r="12" customFormat="false" ht="15" hidden="false" customHeight="false" outlineLevel="0" collapsed="false">
      <c r="A12" s="12" t="n">
        <v>8</v>
      </c>
      <c r="B12" s="11" t="s">
        <v>353</v>
      </c>
      <c r="C12" s="12" t="s">
        <v>354</v>
      </c>
    </row>
    <row r="13" customFormat="false" ht="15" hidden="false" customHeight="false" outlineLevel="0" collapsed="false">
      <c r="A13" s="12" t="n">
        <v>9</v>
      </c>
      <c r="B13" s="11" t="s">
        <v>355</v>
      </c>
      <c r="C13" s="12" t="s">
        <v>356</v>
      </c>
    </row>
    <row r="14" customFormat="false" ht="23.85" hidden="false" customHeight="false" outlineLevel="0" collapsed="false">
      <c r="A14" s="12" t="n">
        <v>10</v>
      </c>
      <c r="B14" s="11" t="s">
        <v>357</v>
      </c>
      <c r="C14" s="12" t="s">
        <v>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2026-08-18T20:46:06Z</dcterms:created>
  <dc:creator>openpyxl</dc:creator>
  <dc:description/>
  <dc:language>en-US</dc:language>
  <cp:lastModifiedBy>Siroya, Pranay</cp:lastModifiedBy>
  <dcterms:modified xsi:type="dcterms:W3CDTF">2026-09-28T22:14:48Z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0x0101009F260950208B1D46834887491E34ABAA</vt:lpwstr>
  </property>
  <property fmtid="{D5CDD505-2E9C-101B-9397-08002B2CF9AE}" pid="3" name="MSIP_Label_1ecdf243-b9b0-4f63-8694-76742e4201b7_ActionId">
    <vt:lpwstr>c09a6244-0adc-4210-8bdb-31871d97342b</vt:lpwstr>
  </property>
  <property fmtid="{D5CDD505-2E9C-101B-9397-08002B2CF9AE}" pid="4" name="MSIP_Label_1ecdf243-b9b0-4f63-8694-76742e4201b7_ContentBits">
    <vt:lpwstr>0</vt:lpwstr>
  </property>
  <property fmtid="{D5CDD505-2E9C-101B-9397-08002B2CF9AE}" pid="5" name="MSIP_Label_1ecdf243-b9b0-4f63-8694-76742e4201b7_Enabled">
    <vt:lpwstr>true</vt:lpwstr>
  </property>
  <property fmtid="{D5CDD505-2E9C-101B-9397-08002B2CF9AE}" pid="6" name="MSIP_Label_1ecdf243-b9b0-4f63-8694-76742e4201b7_Method">
    <vt:lpwstr>Standard</vt:lpwstr>
  </property>
  <property fmtid="{D5CDD505-2E9C-101B-9397-08002B2CF9AE}" pid="7" name="MSIP_Label_1ecdf243-b9b0-4f63-8694-76742e4201b7_Name">
    <vt:lpwstr>Proprietary general</vt:lpwstr>
  </property>
  <property fmtid="{D5CDD505-2E9C-101B-9397-08002B2CF9AE}" pid="8" name="MSIP_Label_1ecdf243-b9b0-4f63-8694-76742e4201b7_SetDate">
    <vt:lpwstr>2026-08-24T19:56:47Z</vt:lpwstr>
  </property>
  <property fmtid="{D5CDD505-2E9C-101B-9397-08002B2CF9AE}" pid="9" name="MSIP_Label_1ecdf243-b9b0-4f63-8694-76742e4201b7_SiteId">
    <vt:lpwstr>fabb61b8-3afe-4e75-b934-a47f782b8cd7</vt:lpwstr>
  </property>
  <property fmtid="{D5CDD505-2E9C-101B-9397-08002B2CF9AE}" pid="10" name="MSIP_Label_1ecdf243-b9b0-4f63-8694-76742e4201b7_Tag">
    <vt:lpwstr>10, 3, 0, 1</vt:lpwstr>
  </property>
  <property fmtid="{D5CDD505-2E9C-101B-9397-08002B2CF9AE}" pid="11" name="MediaServiceImageTags">
    <vt:lpwstr/>
  </property>
</Properties>
</file>